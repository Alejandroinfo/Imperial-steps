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glas" sheetId="1" state="visible" r:id="rId3"/>
    <sheet name="Tecnologías" sheetId="2" state="visible" r:id="rId4"/>
    <sheet name="Ramas" sheetId="3" state="visible" r:id="rId5"/>
    <sheet name="Resumen" sheetId="4" state="visible" r:id="rId6"/>
  </sheets>
  <definedNames>
    <definedName function="false" hidden="true" localSheetId="1" name="_xlnm._FilterDatabase" vbProcedure="false">Tecnologías!$A$1:$Q$204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<sst xmlns="http://schemas.openxmlformats.org/spreadsheetml/2006/main" count="2579" uniqueCount="1079">
  <si>
    <t xml:space="preserve">Árbol de tecnologías v0.2 — 203 propuestas en 12 ramas con columna vertebral</t>
  </si>
  <si>
    <t xml:space="preserve">Todo es una propuesta para corregir. Las 36 tecnologías marcadas como 'Tuya' conservan tus efectos; los nombres, prerrequisitos y el resto son míos.</t>
  </si>
  <si>
    <t xml:space="preserve">Parámetros (celdas amarillas: se pueden cambiar)</t>
  </si>
  <si>
    <t xml:space="preserve">Costo por nivel (puntos de tecnología)</t>
  </si>
  <si>
    <t xml:space="preserve">Tuyo: nivel 1 = 20, nivel 2 = 40 … nivel 5 = 100. El costo de cada tecnología es Nivel × este valor.</t>
  </si>
  <si>
    <t xml:space="preserve">Mín. de tecnologías de nivel 1 para investigar una de nivel 2</t>
  </si>
  <si>
    <t xml:space="preserve">Propuesta mía. Cuentan tecnologías de cualquier rama, vertebrales u opcionales.</t>
  </si>
  <si>
    <t xml:space="preserve">Mín. de tecnologías de nivel 2 para investigar una de nivel 3</t>
  </si>
  <si>
    <t xml:space="preserve">Propuesta mía.</t>
  </si>
  <si>
    <t xml:space="preserve">Mín. de tecnologías de nivel 3 para investigar una de nivel 4</t>
  </si>
  <si>
    <t xml:space="preserve">Mín. de tecnologías de nivel 4 para investigar una de nivel 5</t>
  </si>
  <si>
    <t xml:space="preserve">Cómo funciona el árbol</t>
  </si>
  <si>
    <t xml:space="preserve">Hay 12 ramas. Cada rama tiene una COLUMNA VERTEBRAL (de 6 a 7 tecnologías, con al menos una por nivel y una sola de nivel 5) y tecnologías OPCIONALES (especializaciones y extras).</t>
  </si>
  <si>
    <t xml:space="preserve">Para investigar cualquier tecnología de nivel 5 de una rama hay que haber completado antes la columna vertebral de esa rama hasta el nivel 4. Las opcionales no cuentan para completar la columna.</t>
  </si>
  <si>
    <t xml:space="preserve">Además, para investigar una tecnología de nivel n hace falta el mínimo de tecnologías del nivel n−1 indicado arriba (de cualquier rama), y todos sus prerrequisitos directos (máximo 2, de nivel menor).</t>
  </si>
  <si>
    <t xml:space="preserve">Un edificio se desbloquea con su tecnología de nivel 1. Las de niveles 2 a 5 lo mejoran o lo especializan ('Esp.'). Las tecnologías de zona desbloquean los niveles 2 y 3 de las zonas especializadas (nivel 2 con tecnología de nivel 2; nivel 3 con la de nivel 4).</t>
  </si>
  <si>
    <t xml:space="preserve">Tipo = Civil, Construcción o Militar. Cuartel, Fortificación y las máquinas de asedio se marcan como Militar; los demás edificios, como Construcción.</t>
  </si>
  <si>
    <t xml:space="preserve">Victoria tecnológica (5 tecnologías de nivel 5)</t>
  </si>
  <si>
    <t xml:space="preserve">Con 5 tecnologías de nivel 5 de RAMAS DISTINTAS: camino más barato</t>
  </si>
  <si>
    <t xml:space="preserve">Calculado por script con los mínimos 3 / 5 / 6 / 6 y con los 9 edificios básicos ya desarrollados (36 tecnologías contando esas 9). Entre las combinaciones de 5 ramas, el costo va de 1700 a 2040.</t>
  </si>
  <si>
    <t xml:space="preserve">Si bastara con CUALQUIER 5 de nivel 5 (aunque sean de la misma rama)</t>
  </si>
  <si>
    <t xml:space="preserve">Estimación: se lograría con solo 2 ramas (Logística y Armas y unidades), por eso recomiendo exigir ramas distintas.</t>
  </si>
  <si>
    <t xml:space="preserve">Costo de completar una sola columna vertebral (promedio)</t>
  </si>
  <si>
    <t xml:space="preserve">Entre 280 y 440 según la rama, descontando las tecnologías iniciales (ver hoja 'Ramas').</t>
  </si>
  <si>
    <t xml:space="preserve">Columnas de la hoja 'Tecnologías'</t>
  </si>
  <si>
    <t xml:space="preserve">Columna</t>
  </si>
  <si>
    <t xml:space="preserve">Vertebral = obligatoria para completar la rama y poder llegar al nivel 5. Opcional = especialización o extra que no cuenta para completarla.</t>
  </si>
  <si>
    <t xml:space="preserve">Valoración (1–5)</t>
  </si>
  <si>
    <t xml:space="preserve">5 = muy buena (clara, divertida y bien balanceada); 4 = buena; 3 = aceptable o situacional; 2 = débil, redundante o arriesgada; 1 = problemática. Es mi opinión, para discutir.</t>
  </si>
  <si>
    <t xml:space="preserve">Riesgo de balance</t>
  </si>
  <si>
    <t xml:space="preserve">Bajo / Medio / Alto: qué tan probable es que desbalancee el juego. Se mide con el simulador, no a ojo.</t>
  </si>
  <si>
    <t xml:space="preserve">Origen</t>
  </si>
  <si>
    <t xml:space="preserve">'Tuya' = viene de tu lista (36 tecnologías, con tus efectos). 'Mía' = propuesta nueva.</t>
  </si>
  <si>
    <t xml:space="preserve">Subrama</t>
  </si>
  <si>
    <t xml:space="preserve">La agrupación temática anterior (30 grupos), útil para filtrar por tema. La Rama (12) es la que cuenta para el árbol.</t>
  </si>
  <si>
    <t xml:space="preserve">Esp.</t>
  </si>
  <si>
    <t xml:space="preserve">Especialización de un edificio: variante que eliges para ese edificio, distinta de la mejora general.</t>
  </si>
  <si>
    <t xml:space="preserve">Cambios respecto a la versión anterior</t>
  </si>
  <si>
    <t xml:space="preserve">• Los 9 edificios básicos (Almacenes, Caminos, Hospitales, Cuarteles, Fortificaciones, Bibliotecas, Molinos, Talleres y Mercados) vienen ya desarrollados al inicio (columna Inicial = Sí, costo 0). Cuentan para los mínimos del nivel 1.</t>
  </si>
  <si>
    <t xml:space="preserve">• La investigación ya no es instantánea: cada tecnología avanza cada paso hasta la capacidad de los científicos asignados a investigar (2 de ciencia por científico, más el bono de la zona de tecnología). Un científico genera 2 de ciencia o usa 2 para investigar, no ambas cosas.</t>
  </si>
  <si>
    <t xml:space="preserve">• Se eliminó 'Pacificación' (contradecía el sistema de capturas) y se reemplazaron 'Asedio' y 'Catapultas' por 6 tecnologías de máquinas de asedio (arietes y lanzapiedras, con 3 niveles cada una).</t>
  </si>
  <si>
    <t xml:space="preserve">• 'Gremio mercantil' pasó a llamarse 'Gran compañía' para no confundirse con 'Gremios mercantiles' (zona comercial nivel 3).</t>
  </si>
  <si>
    <t xml:space="preserve">• Varios prerrequisitos de las tecnologías vertebrales se cambiaron para que cada columna dependa solo de sí misma.</t>
  </si>
  <si>
    <t xml:space="preserve">Supuestos y dudas abiertas</t>
  </si>
  <si>
    <t xml:space="preserve">• Los bonos de 'Esp.' de Almacén por nivel (+10, +20, +30, +100) se asumen NO acumulables: cada uno reemplaza al anterior.</t>
  </si>
  <si>
    <t xml:space="preserve">• Se asume que un mismo edificio tiene una sola especialización a la vez.</t>
  </si>
  <si>
    <t xml:space="preserve">• 'Camino militar I' dice +1 de iniciativa. Como el número menor actúa primero, ¿es más lento o más rápido? Se propone −1 (más rápido).</t>
  </si>
  <si>
    <t xml:space="preserve">• Hospital imperial (+2 de vida a todos) es una tecnología tuya y es el nivel 5 de la columna de Sanidad: obliga a quien quiera esa rama a tomarla. Está marcada con riesgo alto.</t>
  </si>
  <si>
    <t xml:space="preserve">• Varias tecnologías usan mecánicas aún no definidas: zonas riesgosas, vender recursos (Exportaciones), mercenarios, rendiciones por intimidación. Decidir si se quieren.</t>
  </si>
  <si>
    <t xml:space="preserve">• El mínimo de tecnologías del nivel anterior cuenta tecnologías de cualquier rama. Se puede exigir que sean del mismo tipo.</t>
  </si>
  <si>
    <t xml:space="preserve">ID</t>
  </si>
  <si>
    <t xml:space="preserve">Nombre</t>
  </si>
  <si>
    <t xml:space="preserve">Nivel</t>
  </si>
  <si>
    <t xml:space="preserve">Costo</t>
  </si>
  <si>
    <t xml:space="preserve">Tipo</t>
  </si>
  <si>
    <t xml:space="preserve">Rama</t>
  </si>
  <si>
    <t xml:space="preserve">Categoría de efecto</t>
  </si>
  <si>
    <t xml:space="preserve">Efecto</t>
  </si>
  <si>
    <t xml:space="preserve">Prerrequisitos directos</t>
  </si>
  <si>
    <t xml:space="preserve">Mín. del nivel anterior</t>
  </si>
  <si>
    <t xml:space="preserve">Comentario</t>
  </si>
  <si>
    <t xml:space="preserve">Inicial</t>
  </si>
  <si>
    <t xml:space="preserve">T001</t>
  </si>
  <si>
    <t xml:space="preserve">Arado</t>
  </si>
  <si>
    <t xml:space="preserve">Civil</t>
  </si>
  <si>
    <t xml:space="preserve">Agricultura</t>
  </si>
  <si>
    <t xml:space="preserve">Vertebral</t>
  </si>
  <si>
    <t xml:space="preserve">Comida</t>
  </si>
  <si>
    <t xml:space="preserve">+1 de comida por agricultor.</t>
  </si>
  <si>
    <t xml:space="preserve">—</t>
  </si>
  <si>
    <t xml:space="preserve">Mía</t>
  </si>
  <si>
    <t xml:space="preserve">Bajo</t>
  </si>
  <si>
    <t xml:space="preserve">Mejora clara y barata; sin ella, la agricultura se queda atrás.</t>
  </si>
  <si>
    <t xml:space="preserve">T002</t>
  </si>
  <si>
    <t xml:space="preserve">Riego</t>
  </si>
  <si>
    <t xml:space="preserve">Zonas</t>
  </si>
  <si>
    <t xml:space="preserve">Zona especializada</t>
  </si>
  <si>
    <t xml:space="preserve">Desbloquea la zona de agricultura nivel 2 (+8 de comida de zona).</t>
  </si>
  <si>
    <t xml:space="preserve">Arado (T001)</t>
  </si>
  <si>
    <t xml:space="preserve">Pasar del nivel 1 al 2 vale +4 de comida por 40 de tecnología: rentable pronto.</t>
  </si>
  <si>
    <t xml:space="preserve">T003</t>
  </si>
  <si>
    <t xml:space="preserve">Huertos familiares</t>
  </si>
  <si>
    <t xml:space="preserve">+1 de comida por poblador normal.</t>
  </si>
  <si>
    <t xml:space="preserve">Beneficia a las zonas básicas, que son las más comunes al inicio.</t>
  </si>
  <si>
    <t xml:space="preserve">T004</t>
  </si>
  <si>
    <t xml:space="preserve">Abonos</t>
  </si>
  <si>
    <t xml:space="preserve">+1 de comida por agricultor (se suma al Arado).</t>
  </si>
  <si>
    <t xml:space="preserve">Arado (T001); Huertos familiares (T003)</t>
  </si>
  <si>
    <t xml:space="preserve">Escala bien con zonas agrícolas especializadas.</t>
  </si>
  <si>
    <t xml:space="preserve">T005</t>
  </si>
  <si>
    <t xml:space="preserve">Cosecha comunal</t>
  </si>
  <si>
    <t xml:space="preserve">Desbloquea la zona de agricultura nivel 3 (+12 de comida de zona).</t>
  </si>
  <si>
    <t xml:space="preserve">Riego (T002); Abonos (T004)</t>
  </si>
  <si>
    <t xml:space="preserve">Cierra la rama de agricultura con un bono grande.</t>
  </si>
  <si>
    <t xml:space="preserve">T006</t>
  </si>
  <si>
    <t xml:space="preserve">Granjas modelo</t>
  </si>
  <si>
    <t xml:space="preserve">+1 de comida por agricultor (se suma al Arado y a Abonos).</t>
  </si>
  <si>
    <t xml:space="preserve">Cosecha comunal (T005)</t>
  </si>
  <si>
    <t xml:space="preserve">Cierra la rama con un bono más. Quizá aburrida.</t>
  </si>
  <si>
    <t xml:space="preserve">T007</t>
  </si>
  <si>
    <t xml:space="preserve">Molinos</t>
  </si>
  <si>
    <t xml:space="preserve">Construcción</t>
  </si>
  <si>
    <t xml:space="preserve">Opcional</t>
  </si>
  <si>
    <t xml:space="preserve">Molino</t>
  </si>
  <si>
    <t xml:space="preserve">Desbloqueo de edificio</t>
  </si>
  <si>
    <t xml:space="preserve">Permite construir el Molino: +1 de comida por trabajador.</t>
  </si>
  <si>
    <t xml:space="preserve">Tuya</t>
  </si>
  <si>
    <t xml:space="preserve">Mejora directa de la comida. Barata de entender y rentable pronto.</t>
  </si>
  <si>
    <t xml:space="preserve">Sí</t>
  </si>
  <si>
    <t xml:space="preserve">T008</t>
  </si>
  <si>
    <t xml:space="preserve">Molino de piedra</t>
  </si>
  <si>
    <t xml:space="preserve">Mejora de edificio</t>
  </si>
  <si>
    <t xml:space="preserve">El Molino da +2 de comida por trabajador (reemplaza al +1).</t>
  </si>
  <si>
    <t xml:space="preserve">Molinos (T007)</t>
  </si>
  <si>
    <t xml:space="preserve">Escala bien con el número de trabajadores (Andamios, Grúas).</t>
  </si>
  <si>
    <t xml:space="preserve">T009</t>
  </si>
  <si>
    <t xml:space="preserve">Despensas</t>
  </si>
  <si>
    <t xml:space="preserve">La muerte por hambre llega a las 3 rondas en vez de 2.</t>
  </si>
  <si>
    <t xml:space="preserve">Suaviza un castigo duro. Útil para quien se expande rápido y arriesga.</t>
  </si>
  <si>
    <t xml:space="preserve">T010</t>
  </si>
  <si>
    <t xml:space="preserve">Pastoreo</t>
  </si>
  <si>
    <t xml:space="preserve">Terreno y eventos</t>
  </si>
  <si>
    <t xml:space="preserve">Terreno</t>
  </si>
  <si>
    <t xml:space="preserve">En Praderas, agricultores y pobladores producen +1 de comida adicional.</t>
  </si>
  <si>
    <t xml:space="preserve">Medio</t>
  </si>
  <si>
    <t xml:space="preserve">Sumada al bono natural de las Praderas, agricultores y pobladores rinden +2 de comida extra. Mismo riesgo: premia al que parte con Praderas.</t>
  </si>
  <si>
    <t xml:space="preserve">T011</t>
  </si>
  <si>
    <t xml:space="preserve">Molino-granero</t>
  </si>
  <si>
    <t xml:space="preserve">Especialización de edificio</t>
  </si>
  <si>
    <t xml:space="preserve">Esp.: además, el Molino da +1 de comida por cada 10 de comida almacenada en la zona (máximo +3).</t>
  </si>
  <si>
    <t xml:space="preserve">Molino de piedra (T008); Almacenes (T073)</t>
  </si>
  <si>
    <t xml:space="preserve">Une Molino y Almacén. Solo rinde si ahorras comida, lo que choca con crecer.</t>
  </si>
  <si>
    <t xml:space="preserve">T012</t>
  </si>
  <si>
    <t xml:space="preserve">Ganadería</t>
  </si>
  <si>
    <t xml:space="preserve">Cada zona de agricultura gana +2 de comida por nivel de zona.</t>
  </si>
  <si>
    <t xml:space="preserve">Huertos familiares (T003)</t>
  </si>
  <si>
    <t xml:space="preserve">Premia la especialización, pero 6 de comida extra en nivel 3 pesa mucho.</t>
  </si>
  <si>
    <t xml:space="preserve">T013</t>
  </si>
  <si>
    <t xml:space="preserve">Semillas resistentes</t>
  </si>
  <si>
    <t xml:space="preserve">Los eventos negativos que reducen la comida afectan un 50% menos.</t>
  </si>
  <si>
    <t xml:space="preserve">Buena como seguro, pero depende de qué eventos existan.</t>
  </si>
  <si>
    <t xml:space="preserve">T014</t>
  </si>
  <si>
    <t xml:space="preserve">Molino hidráulico</t>
  </si>
  <si>
    <t xml:space="preserve">El Molino da +3 de comida por trabajador (+1 más si la zona es de Ríos).</t>
  </si>
  <si>
    <t xml:space="preserve">Molino-granero (T011)</t>
  </si>
  <si>
    <t xml:space="preserve">Buena sinergia con el terreno. Evita que los Ríos sean solo para arqueros y comercio.</t>
  </si>
  <si>
    <t xml:space="preserve">T015</t>
  </si>
  <si>
    <t xml:space="preserve">Irrigación avanzada</t>
  </si>
  <si>
    <t xml:space="preserve">+1 de comida por poblador normal (se suma a Huertos familiares).</t>
  </si>
  <si>
    <t xml:space="preserve">Abonos (T004)</t>
  </si>
  <si>
    <t xml:space="preserve">Bono continuo para zonas básicas.</t>
  </si>
  <si>
    <t xml:space="preserve">T016</t>
  </si>
  <si>
    <t xml:space="preserve">Gran molino</t>
  </si>
  <si>
    <t xml:space="preserve">El Molino da +5 de comida por trabajador.</t>
  </si>
  <si>
    <t xml:space="preserve">Molino hidráulico (T014)</t>
  </si>
  <si>
    <t xml:space="preserve">Alto</t>
  </si>
  <si>
    <t xml:space="preserve">Con 4 trabajadores son +20 de comida por paso, más que una zona de agricultura de nivel 3. Revisar con el simulador.</t>
  </si>
  <si>
    <t xml:space="preserve">T017</t>
  </si>
  <si>
    <t xml:space="preserve">Revolución agrícola</t>
  </si>
  <si>
    <t xml:space="preserve">Las zonas de agricultura nivel 3 generan +6 de comida adicionales.</t>
  </si>
  <si>
    <t xml:space="preserve">Cosecha comunal (T005); Ganadería (T012)</t>
  </si>
  <si>
    <t xml:space="preserve">Fuerte, pero muy específica: solo sirve con zonas de nivel 3.</t>
  </si>
  <si>
    <t xml:space="preserve">T018</t>
  </si>
  <si>
    <t xml:space="preserve">Herramientas</t>
  </si>
  <si>
    <t xml:space="preserve">Producción</t>
  </si>
  <si>
    <t xml:space="preserve">+1 de producción por ingeniero.</t>
  </si>
  <si>
    <t xml:space="preserve">Mejora clara y barata; base para el plan de edificios.</t>
  </si>
  <si>
    <t xml:space="preserve">T019</t>
  </si>
  <si>
    <t xml:space="preserve">Ingeniería básica</t>
  </si>
  <si>
    <t xml:space="preserve">Desbloquea la zona de producción nivel 2 (+8 de producción de zona).</t>
  </si>
  <si>
    <t xml:space="preserve">Herramientas (T018)</t>
  </si>
  <si>
    <t xml:space="preserve">Buen salto para el plan de edificios.</t>
  </si>
  <si>
    <t xml:space="preserve">T020</t>
  </si>
  <si>
    <t xml:space="preserve">Carretillas</t>
  </si>
  <si>
    <t xml:space="preserve">+1 de producción por poblador normal.</t>
  </si>
  <si>
    <t xml:space="preserve">Beneficia a las zonas básicas.</t>
  </si>
  <si>
    <t xml:space="preserve">T021</t>
  </si>
  <si>
    <t xml:space="preserve">Minería</t>
  </si>
  <si>
    <t xml:space="preserve">Cada zona de producción gana +2 de producción por nivel de zona.</t>
  </si>
  <si>
    <t xml:space="preserve">Carretillas (T020)</t>
  </si>
  <si>
    <t xml:space="preserve">Premia la especialización, igual que Ganadería.</t>
  </si>
  <si>
    <t xml:space="preserve">T022</t>
  </si>
  <si>
    <t xml:space="preserve">Ingeniería avanzada</t>
  </si>
  <si>
    <t xml:space="preserve">Desbloquea la zona de producción nivel 3 (+12 de producción de zona).</t>
  </si>
  <si>
    <t xml:space="preserve">Ingeniería básica (T019); Minería (T021)</t>
  </si>
  <si>
    <t xml:space="preserve">Imprescindible para las Maravillas.</t>
  </si>
  <si>
    <t xml:space="preserve">T023</t>
  </si>
  <si>
    <t xml:space="preserve">Maquinaria</t>
  </si>
  <si>
    <t xml:space="preserve">+1 de producción por ingeniero (se suma a Herramientas).</t>
  </si>
  <si>
    <t xml:space="preserve">Ingeniería avanzada (T022)</t>
  </si>
  <si>
    <t xml:space="preserve">Cierra la rama con otro bono directo.</t>
  </si>
  <si>
    <t xml:space="preserve">T024</t>
  </si>
  <si>
    <t xml:space="preserve">Talleres</t>
  </si>
  <si>
    <t xml:space="preserve">Taller</t>
  </si>
  <si>
    <t xml:space="preserve">Permite construir el Taller: +1 de producción por trabajador.</t>
  </si>
  <si>
    <t xml:space="preserve">Mejora directa de producción; base para armas y edificios.</t>
  </si>
  <si>
    <t xml:space="preserve">T025</t>
  </si>
  <si>
    <t xml:space="preserve">Taller de herrería</t>
  </si>
  <si>
    <t xml:space="preserve">El Taller da +2 de producción por trabajador (reemplaza al +1).</t>
  </si>
  <si>
    <t xml:space="preserve">Talleres (T024)</t>
  </si>
  <si>
    <t xml:space="preserve">Escala bien con los trabajadores extra.</t>
  </si>
  <si>
    <t xml:space="preserve">T026</t>
  </si>
  <si>
    <t xml:space="preserve">Aprendices</t>
  </si>
  <si>
    <t xml:space="preserve">Especializar civiles cuesta 0 de producción en zonas con Taller.</t>
  </si>
  <si>
    <t xml:space="preserve">Herramientas (T018); Talleres (T024)</t>
  </si>
  <si>
    <t xml:space="preserve">Fomenta tener Taller en cada zona; puede volver trivial el costo de especializar.</t>
  </si>
  <si>
    <t xml:space="preserve">T027</t>
  </si>
  <si>
    <t xml:space="preserve">Terrazas</t>
  </si>
  <si>
    <t xml:space="preserve">En Montañas, ingenieros y pobladores producen +1 de producción adicional.</t>
  </si>
  <si>
    <t xml:space="preserve">Sumada al bono natural de las Montañas, un ingeniero rinde +2 de producción extra en esa zona. Premia buscar el terreno, pero también inclina el mapa a favor de quien parte con Montañas.</t>
  </si>
  <si>
    <t xml:space="preserve">T028</t>
  </si>
  <si>
    <t xml:space="preserve">Taller de armería</t>
  </si>
  <si>
    <t xml:space="preserve">Esp.: las armas fabricadas en este Taller cuestan 1 de producción menos.</t>
  </si>
  <si>
    <t xml:space="preserve">Taller de herrería (T025); Cuarteles (T158)</t>
  </si>
  <si>
    <t xml:space="preserve">Une economía y guerra. Los costos de armas (3 a 6) son bajos, así que el ahorro puede ser pequeño.</t>
  </si>
  <si>
    <t xml:space="preserve">T029</t>
  </si>
  <si>
    <t xml:space="preserve">Taller de maquinaria</t>
  </si>
  <si>
    <t xml:space="preserve">El Taller da +3 de producción por trabajador.</t>
  </si>
  <si>
    <t xml:space="preserve">Taller de armería (T028)</t>
  </si>
  <si>
    <t xml:space="preserve">Es el camino natural hacia las Maravillas.</t>
  </si>
  <si>
    <t xml:space="preserve">T030</t>
  </si>
  <si>
    <t xml:space="preserve">Línea de ensamblaje</t>
  </si>
  <si>
    <t xml:space="preserve">Los constructores pueden usar +1 de producción por paso (se suma a Cuadrillas de obra).</t>
  </si>
  <si>
    <t xml:space="preserve">Cuadrillas de obra (T092); Minería (T021)</t>
  </si>
  <si>
    <t xml:space="preserve">Fuerte para los planes de edificios y Maravillas.</t>
  </si>
  <si>
    <t xml:space="preserve">T031</t>
  </si>
  <si>
    <t xml:space="preserve">Gran manufactura</t>
  </si>
  <si>
    <t xml:space="preserve">El Taller da +5 de producción por trabajador.</t>
  </si>
  <si>
    <t xml:space="preserve">Taller de maquinaria (T029)</t>
  </si>
  <si>
    <t xml:space="preserve">Con 4 trabajadores son +20 de producción por paso: una Maravilla cada 25 pasos solo con este edificio. Vigilar.</t>
  </si>
  <si>
    <t xml:space="preserve">T032</t>
  </si>
  <si>
    <t xml:space="preserve">Moneda</t>
  </si>
  <si>
    <t xml:space="preserve">Comercio</t>
  </si>
  <si>
    <t xml:space="preserve">Oro</t>
  </si>
  <si>
    <t xml:space="preserve">+1 de oro por comerciante.</t>
  </si>
  <si>
    <t xml:space="preserve">Mejora clara y barata; hace viable la zona comercial.</t>
  </si>
  <si>
    <t xml:space="preserve">T033</t>
  </si>
  <si>
    <t xml:space="preserve">Rutas comerciales</t>
  </si>
  <si>
    <t xml:space="preserve">Desbloquea la zona comercial nivel 2 (+8 de oro de zona).</t>
  </si>
  <si>
    <t xml:space="preserve">Moneda (T032)</t>
  </si>
  <si>
    <t xml:space="preserve">Pasa de 4 a 8 de oro de zona; muy buena inversión.</t>
  </si>
  <si>
    <t xml:space="preserve">T034</t>
  </si>
  <si>
    <t xml:space="preserve">Caravanas</t>
  </si>
  <si>
    <t xml:space="preserve">Los primeros 5 de comida o producción que muevas cada paso no pagan logística.</t>
  </si>
  <si>
    <t xml:space="preserve">Hace sentir menos el costo del oro al inicio.</t>
  </si>
  <si>
    <t xml:space="preserve">T035</t>
  </si>
  <si>
    <t xml:space="preserve">Contabilidad</t>
  </si>
  <si>
    <t xml:space="preserve">Comprar un recurso faltante cuesta 2 de oro (en vez de 3).</t>
  </si>
  <si>
    <t xml:space="preserve">Moneda (T032); Caravanas (T034)</t>
  </si>
  <si>
    <t xml:space="preserve">Reduce el castigo de las escaseces.</t>
  </si>
  <si>
    <t xml:space="preserve">T036</t>
  </si>
  <si>
    <t xml:space="preserve">Gremios mercantiles</t>
  </si>
  <si>
    <t xml:space="preserve">Desbloquea la zona comercial nivel 3 (+12 de oro de zona).</t>
  </si>
  <si>
    <t xml:space="preserve">Rutas comerciales (T033); Contabilidad (T035)</t>
  </si>
  <si>
    <t xml:space="preserve">Empuja hacia los 1000 de oro.</t>
  </si>
  <si>
    <t xml:space="preserve">T037</t>
  </si>
  <si>
    <t xml:space="preserve">Gran compañía</t>
  </si>
  <si>
    <t xml:space="preserve">+1 de oro por comerciante (se suma a Moneda y Casa de moneda).</t>
  </si>
  <si>
    <t xml:space="preserve">Gremios mercantiles (T036)</t>
  </si>
  <si>
    <t xml:space="preserve">T038</t>
  </si>
  <si>
    <t xml:space="preserve">Mercados</t>
  </si>
  <si>
    <t xml:space="preserve">Mercado</t>
  </si>
  <si>
    <t xml:space="preserve">Permite construir el Mercado: +1 de oro por trabajador.</t>
  </si>
  <si>
    <t xml:space="preserve">Primer ingreso de oro fuera de la zona comercial.</t>
  </si>
  <si>
    <t xml:space="preserve">T039</t>
  </si>
  <si>
    <t xml:space="preserve">Mercado central</t>
  </si>
  <si>
    <t xml:space="preserve">El Mercado da +2 de oro por trabajador (reemplaza al +1).</t>
  </si>
  <si>
    <t xml:space="preserve">Mercados (T038)</t>
  </si>
  <si>
    <t xml:space="preserve">T040</t>
  </si>
  <si>
    <t xml:space="preserve">Impuestos</t>
  </si>
  <si>
    <t xml:space="preserve">+1 de oro por cada 2 zonas que controles.</t>
  </si>
  <si>
    <t xml:space="preserve">Premia expandirse. Con 12 zonas serían +6 de oro: moderado.</t>
  </si>
  <si>
    <t xml:space="preserve">T041</t>
  </si>
  <si>
    <t xml:space="preserve">Exportaciones</t>
  </si>
  <si>
    <t xml:space="preserve">Puedes vender 2 de comida o producción de tu almacén por 1 de oro (por orden).</t>
  </si>
  <si>
    <t xml:space="preserve">Introduce la venta de recursos, que hoy no existe. Decidir si se quiere.</t>
  </si>
  <si>
    <t xml:space="preserve">T042</t>
  </si>
  <si>
    <t xml:space="preserve">Comercio fluvial</t>
  </si>
  <si>
    <t xml:space="preserve">En Ríos, los comerciantes generan +1 de oro adicional.</t>
  </si>
  <si>
    <t xml:space="preserve">Hace de los Ríos el mejor lugar para comerciar (+2 de oro por comerciante). Combina con el bono de arqueros defensores del mismo terreno.</t>
  </si>
  <si>
    <t xml:space="preserve">T043</t>
  </si>
  <si>
    <t xml:space="preserve">Comercio maderero</t>
  </si>
  <si>
    <t xml:space="preserve">En Bosques, los comerciantes generan +1 de oro adicional.</t>
  </si>
  <si>
    <t xml:space="preserve">Hace de los Bosques el mejor lugar para comerciar (+2 de oro por comerciante). Los Bosques ya favorecen a arqueros atacantes.</t>
  </si>
  <si>
    <t xml:space="preserve">T044</t>
  </si>
  <si>
    <t xml:space="preserve">Mercado de trueque</t>
  </si>
  <si>
    <t xml:space="preserve">Esp.: comprar un recurso faltante en esta zona cuesta 1 de oro menos.</t>
  </si>
  <si>
    <t xml:space="preserve">Mercado central (T039)</t>
  </si>
  <si>
    <t xml:space="preserve">Útil cuando hay escasez, pero se solapa con Contabilidad. Pensar en combinarlas con un mínimo de 1.</t>
  </si>
  <si>
    <t xml:space="preserve">T045</t>
  </si>
  <si>
    <t xml:space="preserve">Embajadas comerciales</t>
  </si>
  <si>
    <t xml:space="preserve">Mientras tengas paz con otro jugador en una zona fronteriza, ambos ganan +1 de oro por paso.</t>
  </si>
  <si>
    <t xml:space="preserve">Caravanas (T034); Embajadores (T123)</t>
  </si>
  <si>
    <t xml:space="preserve">Premia la paz. Puede dar demasiado oro al vecino al que quieres atacar.</t>
  </si>
  <si>
    <t xml:space="preserve">T046</t>
  </si>
  <si>
    <t xml:space="preserve">Banco</t>
  </si>
  <si>
    <t xml:space="preserve">El Mercado da +3 de oro por trabajador.</t>
  </si>
  <si>
    <t xml:space="preserve">Mercado de trueque (T044)</t>
  </si>
  <si>
    <t xml:space="preserve">Empuja hacia los 1000 de oro de la victoria Comercial.</t>
  </si>
  <si>
    <t xml:space="preserve">T047</t>
  </si>
  <si>
    <t xml:space="preserve">Casa de moneda</t>
  </si>
  <si>
    <t xml:space="preserve">+1 de oro por comerciante (se suma a Moneda).</t>
  </si>
  <si>
    <t xml:space="preserve">Contabilidad (T035)</t>
  </si>
  <si>
    <t xml:space="preserve">Bono continuo para la zona comercial.</t>
  </si>
  <si>
    <t xml:space="preserve">T048</t>
  </si>
  <si>
    <t xml:space="preserve">Monopolio</t>
  </si>
  <si>
    <t xml:space="preserve">Cada recurso estratégico que controles da +2 de oro por paso.</t>
  </si>
  <si>
    <t xml:space="preserve">Impuestos (T040); Contabilidad (T035)</t>
  </si>
  <si>
    <t xml:space="preserve">Hace valiosos los recursos estratégicos; depende de cuántos haya en el mapa.</t>
  </si>
  <si>
    <t xml:space="preserve">T049</t>
  </si>
  <si>
    <t xml:space="preserve">Seguro mercantil</t>
  </si>
  <si>
    <t xml:space="preserve">Al final de cada paso recuperas un 25% del oro gastado en logística.</t>
  </si>
  <si>
    <t xml:space="preserve">Añade un cálculo extra de oro por paso al motor y al jugador, a cambio de una ganancia pequeña.</t>
  </si>
  <si>
    <t xml:space="preserve">T050</t>
  </si>
  <si>
    <t xml:space="preserve">Bolsa imperial</t>
  </si>
  <si>
    <t xml:space="preserve">El Mercado da +5 de oro por trabajador.</t>
  </si>
  <si>
    <t xml:space="preserve">Banco (T046)</t>
  </si>
  <si>
    <t xml:space="preserve">Con 4 trabajadores son +20 de oro por paso. Con un solo edificio, 1000 de oro serían unos 50 pasos. Vigilar.</t>
  </si>
  <si>
    <t xml:space="preserve">T051</t>
  </si>
  <si>
    <t xml:space="preserve">Ruta de la seda</t>
  </si>
  <si>
    <t xml:space="preserve">Las zonas comerciales de nivel 3 generan +4 de oro adicionales.</t>
  </si>
  <si>
    <t xml:space="preserve">Monopolio (T048); Gremios mercantiles (T036)</t>
  </si>
  <si>
    <t xml:space="preserve">Solo sirve con zonas nivel 3; fuerte para el plan de 1000 de oro.</t>
  </si>
  <si>
    <t xml:space="preserve">T052</t>
  </si>
  <si>
    <t xml:space="preserve">Escritura</t>
  </si>
  <si>
    <t xml:space="preserve">Saber</t>
  </si>
  <si>
    <t xml:space="preserve">Tecnología</t>
  </si>
  <si>
    <t xml:space="preserve">+1 de tecnología por científico.</t>
  </si>
  <si>
    <t xml:space="preserve">Mejora clara y barata; base de la rama.</t>
  </si>
  <si>
    <t xml:space="preserve">T053</t>
  </si>
  <si>
    <t xml:space="preserve">Academias</t>
  </si>
  <si>
    <t xml:space="preserve">Desbloquea la zona de tecnología nivel 2 (8 de tecnología de zona).</t>
  </si>
  <si>
    <t xml:space="preserve">Escritura (T052)</t>
  </si>
  <si>
    <t xml:space="preserve">Vuelve a la tecnología un camino viable desde el inicio.</t>
  </si>
  <si>
    <t xml:space="preserve">T054</t>
  </si>
  <si>
    <t xml:space="preserve">Escuelas</t>
  </si>
  <si>
    <t xml:space="preserve">Cambiar de especialización cuesta 1 de producción menos.</t>
  </si>
  <si>
    <t xml:space="preserve">Útil si se pasa de un oficio a otro con frecuencia; pesa poco al inicio.</t>
  </si>
  <si>
    <t xml:space="preserve">T055</t>
  </si>
  <si>
    <t xml:space="preserve">Intercambio académico</t>
  </si>
  <si>
    <t xml:space="preserve">Cuando compartes una tecnología con un vecino, recibes +10 de tecnología.</t>
  </si>
  <si>
    <t xml:space="preserve">Escuelas (T054)</t>
  </si>
  <si>
    <t xml:space="preserve">Premia la cooperación; puede acelerar la tecnología si se abusa.</t>
  </si>
  <si>
    <t xml:space="preserve">T056</t>
  </si>
  <si>
    <t xml:space="preserve">Universidades</t>
  </si>
  <si>
    <t xml:space="preserve">Desbloquea la zona de tecnología nivel 3 (12 de tecnología de zona).</t>
  </si>
  <si>
    <t xml:space="preserve">Academias (T053); Escuelas (T054)</t>
  </si>
  <si>
    <t xml:space="preserve">Acelera el árbol; tener cuidado con la victoria tecnológica.</t>
  </si>
  <si>
    <t xml:space="preserve">T057</t>
  </si>
  <si>
    <t xml:space="preserve">Método científico</t>
  </si>
  <si>
    <t xml:space="preserve">+1 de tecnología por científico (se suma a Escritura).</t>
  </si>
  <si>
    <t xml:space="preserve">Escuelas (T054); Intercambio académico (T055)</t>
  </si>
  <si>
    <t xml:space="preserve">Bono continuo que empuja hacia el árbol completo.</t>
  </si>
  <si>
    <t xml:space="preserve">T058</t>
  </si>
  <si>
    <t xml:space="preserve">Enciclopedia</t>
  </si>
  <si>
    <t xml:space="preserve">Meta (reglas de tecnología)</t>
  </si>
  <si>
    <t xml:space="preserve">Las tecnologías de nivel 1 y 2 que te falten cuestan la mitad.</t>
  </si>
  <si>
    <t xml:space="preserve">Método científico (T057); Universidades (T056)</t>
  </si>
  <si>
    <t xml:space="preserve">Ayuda a ponerse al día. Poco valor si ya tienes casi todas.</t>
  </si>
  <si>
    <t xml:space="preserve">T059</t>
  </si>
  <si>
    <t xml:space="preserve">Bibliotecas</t>
  </si>
  <si>
    <t xml:space="preserve">Biblioteca</t>
  </si>
  <si>
    <t xml:space="preserve">Permite construir la Biblioteca: +1 de tecnología por trabajador.</t>
  </si>
  <si>
    <t xml:space="preserve">Hace que la tecnología no dependa solo de los científicos de la capital.</t>
  </si>
  <si>
    <t xml:space="preserve">T060</t>
  </si>
  <si>
    <t xml:space="preserve">Scriptorium</t>
  </si>
  <si>
    <t xml:space="preserve">La Biblioteca da +2 de tecnología por trabajador (reemplaza al +1).</t>
  </si>
  <si>
    <t xml:space="preserve">Bibliotecas (T059)</t>
  </si>
  <si>
    <t xml:space="preserve">T061</t>
  </si>
  <si>
    <t xml:space="preserve">Calendario</t>
  </si>
  <si>
    <t xml:space="preserve">Eventos</t>
  </si>
  <si>
    <t xml:space="preserve">Los eventos se ven con 3 rondas de anticipación (en vez de 2).</t>
  </si>
  <si>
    <t xml:space="preserve">Pequeño pero útil para planificar.</t>
  </si>
  <si>
    <t xml:space="preserve">T062</t>
  </si>
  <si>
    <t xml:space="preserve">Biblioteca abierta</t>
  </si>
  <si>
    <t xml:space="preserve">Esp.: las tecnologías que compartes desde esta zona cuestan 1/4 (en vez de la mitad) al vecino, y tú recibes +5 de tecnología por cada una.</t>
  </si>
  <si>
    <t xml:space="preserve">Scriptorium (T060)</t>
  </si>
  <si>
    <t xml:space="preserve">Fomenta el intercambio. Con vecinos amigos puede acelerar demasiado la victoria tecnológica.</t>
  </si>
  <si>
    <t xml:space="preserve">T063</t>
  </si>
  <si>
    <t xml:space="preserve">Espionaje científico</t>
  </si>
  <si>
    <t xml:space="preserve">Información</t>
  </si>
  <si>
    <t xml:space="preserve">Ves las tecnologías de todos los jugadores.</t>
  </si>
  <si>
    <t xml:space="preserve">Información sin poder directo; útil para reaccionar a quien va por la victoria tecnológica.</t>
  </si>
  <si>
    <t xml:space="preserve">T064</t>
  </si>
  <si>
    <t xml:space="preserve">Atajo del sabio</t>
  </si>
  <si>
    <t xml:space="preserve">Una vez por partida, puedes investigar una tecnología sin cumplir el mínimo de tecnologías del nivel anterior.</t>
  </si>
  <si>
    <t xml:space="preserve">Escuelas (T054); Calendario (T061)</t>
  </si>
  <si>
    <t xml:space="preserve">Es un comodín divertido. Cuidado con abrir un camino demasiado corto a las tecnologías de nivel 5.</t>
  </si>
  <si>
    <t xml:space="preserve">T065</t>
  </si>
  <si>
    <t xml:space="preserve">Observatorios</t>
  </si>
  <si>
    <t xml:space="preserve">En Llanuras, los científicos generan +1 de tecnología adicional.</t>
  </si>
  <si>
    <t xml:space="preserve">Sumada al bono natural de las Llanuras, los científicos generan +2 de tecnología. Es la forma más directa de acelerar el árbol: vigilar.</t>
  </si>
  <si>
    <t xml:space="preserve">T066</t>
  </si>
  <si>
    <t xml:space="preserve">Reservas de emergencia</t>
  </si>
  <si>
    <t xml:space="preserve">Los eventos negativos que aumentan el consumo afectan un 25% menos.</t>
  </si>
  <si>
    <t xml:space="preserve">Calendario (T061)</t>
  </si>
  <si>
    <t xml:space="preserve">Seguro pequeño; depende de la lista de eventos.</t>
  </si>
  <si>
    <t xml:space="preserve">T067</t>
  </si>
  <si>
    <t xml:space="preserve">Archivo</t>
  </si>
  <si>
    <t xml:space="preserve">La Biblioteca da +3 de tecnología por trabajador.</t>
  </si>
  <si>
    <t xml:space="preserve">Biblioteca abierta (T062)</t>
  </si>
  <si>
    <t xml:space="preserve">Empuja hacia las 5 tecnologías de nivel 5.</t>
  </si>
  <si>
    <t xml:space="preserve">T068</t>
  </si>
  <si>
    <t xml:space="preserve">Astronomía</t>
  </si>
  <si>
    <t xml:space="preserve">Los eventos se ven con 5 rondas de anticipación.</t>
  </si>
  <si>
    <t xml:space="preserve">Gran herramienta para planificar y evitar eventos negativos.</t>
  </si>
  <si>
    <t xml:space="preserve">T069</t>
  </si>
  <si>
    <t xml:space="preserve">Fortuna del temerario</t>
  </si>
  <si>
    <t xml:space="preserve">Los efectos positivos de eventos en zonas riesgosas son un 25% mejores.</t>
  </si>
  <si>
    <t xml:space="preserve">Reservas de emergencia (T066)</t>
  </si>
  <si>
    <t xml:space="preserve">Premia jugar en terrenos difíciles. Falta definir cuáles son riesgosos.</t>
  </si>
  <si>
    <t xml:space="preserve">T070</t>
  </si>
  <si>
    <t xml:space="preserve">Resistencia climática</t>
  </si>
  <si>
    <t xml:space="preserve">Los eventos negativos afectan un 50% menos a tus zonas riesgosas.</t>
  </si>
  <si>
    <t xml:space="preserve">Contrapeso al riesgo del terreno.</t>
  </si>
  <si>
    <t xml:space="preserve">T071</t>
  </si>
  <si>
    <t xml:space="preserve">Gran biblioteca</t>
  </si>
  <si>
    <t xml:space="preserve">La Biblioteca da +5 de tecnología por trabajador.</t>
  </si>
  <si>
    <t xml:space="preserve">Archivo (T067)</t>
  </si>
  <si>
    <t xml:space="preserve">Con 4 trabajadores son +20 de tecnología por paso. Con ese ritmo, el árbol completo se acorta mucho.</t>
  </si>
  <si>
    <t xml:space="preserve">T072</t>
  </si>
  <si>
    <t xml:space="preserve">Pronóstico</t>
  </si>
  <si>
    <t xml:space="preserve">Una vez cada 10 rondas puedes evitar un evento negativo.</t>
  </si>
  <si>
    <t xml:space="preserve">Astronomía (T068)</t>
  </si>
  <si>
    <t xml:space="preserve">Poderosa, pero con límite de uso, lo que la hace justa.</t>
  </si>
  <si>
    <t xml:space="preserve">T073</t>
  </si>
  <si>
    <t xml:space="preserve">Almacenes</t>
  </si>
  <si>
    <t xml:space="preserve">Logística</t>
  </si>
  <si>
    <t xml:space="preserve">Almacén</t>
  </si>
  <si>
    <t xml:space="preserve">Permite construir el Almacén: +10 de capacidad de almacenamiento (comida y producción) por nivel del edificio.</t>
  </si>
  <si>
    <t xml:space="preserve">Base de toda la logística. Barata, clara y útil desde el primer paso.</t>
  </si>
  <si>
    <t xml:space="preserve">T074</t>
  </si>
  <si>
    <t xml:space="preserve">Caminos</t>
  </si>
  <si>
    <t xml:space="preserve">Camino</t>
  </si>
  <si>
    <t xml:space="preserve">Permite construir el Camino: mover comida y producción desde o hacia la zona cuesta la mitad de oro (redondeando hacia arriba).</t>
  </si>
  <si>
    <t xml:space="preserve">Hace rentables las zonas lejanas. Imprescindible en mapas lentos como Fortaleza o Espiral.</t>
  </si>
  <si>
    <t xml:space="preserve">T075</t>
  </si>
  <si>
    <t xml:space="preserve">Camino civil I</t>
  </si>
  <si>
    <t xml:space="preserve">Esp.: los civiles pueden moverse en una dirección de forma inmediata y, al llegar, producir, descansar, etc. en ese mismo paso.</t>
  </si>
  <si>
    <t xml:space="preserve">Caminos (T074)</t>
  </si>
  <si>
    <t xml:space="preserve">Muy fuerte: elimina el costo de 'no producir el paso en que te mueves'. Choca con la regla actual, así que hay que definirlo bien.</t>
  </si>
  <si>
    <t xml:space="preserve">T076</t>
  </si>
  <si>
    <t xml:space="preserve">Red de caminos I</t>
  </si>
  <si>
    <t xml:space="preserve">Mover comida y producción que pase por esta zona cuesta 1/3 del total.</t>
  </si>
  <si>
    <t xml:space="preserve">Camino civil I (T075)</t>
  </si>
  <si>
    <t xml:space="preserve">Muy buena: hace casi gratuita la logística de una zona central y crea puntos estratégicos que todos querrán controlar.</t>
  </si>
  <si>
    <t xml:space="preserve">T077</t>
  </si>
  <si>
    <t xml:space="preserve">Camino civil II</t>
  </si>
  <si>
    <t xml:space="preserve">Esp.: al moverse, cada civil puede llevar hasta 5 unidades en total de comida o producción.</t>
  </si>
  <si>
    <t xml:space="preserve">Camino civil I (T075); Red de caminos I (T076)</t>
  </si>
  <si>
    <t xml:space="preserve">Abre una logística alternativa sin pagar oro. Aclarar si el movimiento civil sigue siendo gratis y si el recurso llega en el mismo paso.</t>
  </si>
  <si>
    <t xml:space="preserve">T078</t>
  </si>
  <si>
    <t xml:space="preserve">Red de caminos II</t>
  </si>
  <si>
    <t xml:space="preserve">Mover comida y producción que pase por esta zona es gratis.</t>
  </si>
  <si>
    <t xml:space="preserve">Camino civil II (T077)</t>
  </si>
  <si>
    <t xml:space="preserve">Gratis es muy poderoso, pero es nivel 5 y exige muchos requisitos. Cierra el uso del oro en logística.</t>
  </si>
  <si>
    <t xml:space="preserve">T079</t>
  </si>
  <si>
    <t xml:space="preserve">Almacén de comida I</t>
  </si>
  <si>
    <t xml:space="preserve">Esp.: el almacén guarda 10 más de comida.</t>
  </si>
  <si>
    <t xml:space="preserve">Almacenes (T073)</t>
  </si>
  <si>
    <t xml:space="preserve">Buena para quien juega a crecer. Aclarar si un mismo almacén puede tener la especialización de comida y la de producción a la vez (se asume que no).</t>
  </si>
  <si>
    <t xml:space="preserve">T080</t>
  </si>
  <si>
    <t xml:space="preserve">Almacén de producción I</t>
  </si>
  <si>
    <t xml:space="preserve">Esp.: el almacén guarda 10 más de producción.</t>
  </si>
  <si>
    <t xml:space="preserve">Útil para juntar los 500 de la Maravilla sin depender tanto de la logística.</t>
  </si>
  <si>
    <t xml:space="preserve">T081</t>
  </si>
  <si>
    <t xml:space="preserve">Almacenes económicos</t>
  </si>
  <si>
    <t xml:space="preserve">El Almacén cuesta la mitad de producción.</t>
  </si>
  <si>
    <t xml:space="preserve">El Almacén ya es barato (20 de producción), así que ahorra solo 10. Casi nadie la elegirá; mejor ligarla a otro efecto.</t>
  </si>
  <si>
    <t xml:space="preserve">T082</t>
  </si>
  <si>
    <t xml:space="preserve">Intereses del almacén I</t>
  </si>
  <si>
    <t xml:space="preserve">Por cada 10 unidades de comida o producción almacenadas en la zona, el almacén genera 1 de oro.</t>
  </si>
  <si>
    <t xml:space="preserve">Almacenes (T073); Moneda (T032)</t>
  </si>
  <si>
    <t xml:space="preserve">Convierte reservas en oro y compite con gastarlas. Con el tope base de 10 por zona rinde apenas 1 de oro; mejora mucho con las ampliaciones.</t>
  </si>
  <si>
    <t xml:space="preserve">T083</t>
  </si>
  <si>
    <t xml:space="preserve">Camino militar I</t>
  </si>
  <si>
    <t xml:space="preserve">Esp.: las unidades militares que se mueven desde esta zona obtienen 1 de iniciativa en los combates de esa ronda.</t>
  </si>
  <si>
    <t xml:space="preserve">El '+1 de iniciativa' es ambiguo: como el número menor actúa primero, ¿es un +1 (más lento) o un −1 (más rápido)? Se propone −1, es decir, actúan antes.</t>
  </si>
  <si>
    <t xml:space="preserve">T084</t>
  </si>
  <si>
    <t xml:space="preserve">Almacén de comida II</t>
  </si>
  <si>
    <t xml:space="preserve">Esp.: el almacén guarda 20 más de comida (reemplaza el bono anterior).</t>
  </si>
  <si>
    <t xml:space="preserve">Almacén de comida I (T079)</t>
  </si>
  <si>
    <t xml:space="preserve">Se asume que los bonos NO se acumulan (reemplazan al anterior). Si se acumularan, la reserva crecería mucho más rápido.</t>
  </si>
  <si>
    <t xml:space="preserve">T085</t>
  </si>
  <si>
    <t xml:space="preserve">Almacén de producción II</t>
  </si>
  <si>
    <t xml:space="preserve">Esp.: el almacén guarda 20 más de producción (reemplaza el bono anterior).</t>
  </si>
  <si>
    <t xml:space="preserve">Almacén de producción I (T080)</t>
  </si>
  <si>
    <t xml:space="preserve">Misma duda que con la comida: se asume que no se acumula con el nivel anterior.</t>
  </si>
  <si>
    <t xml:space="preserve">T086</t>
  </si>
  <si>
    <t xml:space="preserve">Almacén de comida III</t>
  </si>
  <si>
    <t xml:space="preserve">Esp.: el almacén guarda 30 más de comida (reemplaza el bono anterior).</t>
  </si>
  <si>
    <t xml:space="preserve">Almacén de comida II (T084)</t>
  </si>
  <si>
    <t xml:space="preserve">Con un tope base de 10 por zona, +30 es cuadruplicar la reserva. Sirve para ahorrar para crecer, pero pierde valor si no hay presión de hambre.</t>
  </si>
  <si>
    <t xml:space="preserve">T087</t>
  </si>
  <si>
    <t xml:space="preserve">Almacén de producción III</t>
  </si>
  <si>
    <t xml:space="preserve">Esp.: el almacén guarda 30 más de producción (reemplaza el bono anterior).</t>
  </si>
  <si>
    <t xml:space="preserve">Almacén de producción II (T085)</t>
  </si>
  <si>
    <t xml:space="preserve">Buen apoyo para el plan de Maravillas o de muchos edificios; el costo de oportunidad es ocupar un espacio de edificio.</t>
  </si>
  <si>
    <t xml:space="preserve">T088</t>
  </si>
  <si>
    <t xml:space="preserve">Intereses del almacén II</t>
  </si>
  <si>
    <t xml:space="preserve">Por cada 5 unidades de comida o producción almacenadas en la zona, el almacén genera 1 de oro.</t>
  </si>
  <si>
    <t xml:space="preserve">Intereses del almacén I (T082); Contabilidad (T035)</t>
  </si>
  <si>
    <t xml:space="preserve">Con Almacén de comida IV (+100) un solo almacén daría unos 20 de oro por paso. Vigilar en la simulación.</t>
  </si>
  <si>
    <t xml:space="preserve">T089</t>
  </si>
  <si>
    <t xml:space="preserve">Camino militar II</t>
  </si>
  <si>
    <t xml:space="preserve">Esp.: la comida para mantener a las unidades militares que pasen por aquí cuesta 1 menos por unidad.</t>
  </si>
  <si>
    <t xml:space="preserve">Camino militar I (T083); Red de caminos I (T076)</t>
  </si>
  <si>
    <t xml:space="preserve">Ahorro modesto: solo importa con ejércitos grandes en marcha. Aclarar si es una vez por paso o por cada zona cruzada.</t>
  </si>
  <si>
    <t xml:space="preserve">T090</t>
  </si>
  <si>
    <t xml:space="preserve">Almacén de comida IV</t>
  </si>
  <si>
    <t xml:space="preserve">Esp.: el almacén guarda 100 más de comida (reemplaza el bono anterior).</t>
  </si>
  <si>
    <t xml:space="preserve">Almacén de comida III (T086)</t>
  </si>
  <si>
    <t xml:space="preserve">El salto de +30 a +100 es muy grande; considerar +50. Riesgo: un jugador puede sentarse sobre su comida y esperar los eventos negativos.</t>
  </si>
  <si>
    <t xml:space="preserve">T091</t>
  </si>
  <si>
    <t xml:space="preserve">Almacén de producción IV</t>
  </si>
  <si>
    <t xml:space="preserve">Esp.: el almacén guarda 100 más de producción (reemplaza el bono anterior).</t>
  </si>
  <si>
    <t xml:space="preserve">Almacén de producción III (T087)</t>
  </si>
  <si>
    <t xml:space="preserve">Acumular 100 de producción sin pagar logística acelera mucho la victoria por Maravillas, sobre todo con Canteras reales. Vigilar.</t>
  </si>
  <si>
    <t xml:space="preserve">T092</t>
  </si>
  <si>
    <t xml:space="preserve">Cuadrillas de obra</t>
  </si>
  <si>
    <t xml:space="preserve">Urbanismo</t>
  </si>
  <si>
    <t xml:space="preserve">Cada constructor puede usar +1 de producción por paso.</t>
  </si>
  <si>
    <t xml:space="preserve">Acelera la construcción; útil desde temprano.</t>
  </si>
  <si>
    <t xml:space="preserve">T093</t>
  </si>
  <si>
    <t xml:space="preserve">Gremios de constructores</t>
  </si>
  <si>
    <t xml:space="preserve">Desbloquea la zona industrial nivel 2 (usa 8 de producción de zona).</t>
  </si>
  <si>
    <t xml:space="preserve">Cuadrillas de obra (T092)</t>
  </si>
  <si>
    <t xml:space="preserve">Permite construir más rápido; necesaria para planes de edificios.</t>
  </si>
  <si>
    <t xml:space="preserve">T094</t>
  </si>
  <si>
    <t xml:space="preserve">Andamios</t>
  </si>
  <si>
    <t xml:space="preserve">Edificios</t>
  </si>
  <si>
    <t xml:space="preserve">+1 trabajador por edificio (de 2 a 3).</t>
  </si>
  <si>
    <t xml:space="preserve">Muy fuerte: multiplica el efecto de todos los edificios. Es una de las tecnologías más valiosas.</t>
  </si>
  <si>
    <t xml:space="preserve">T095</t>
  </si>
  <si>
    <t xml:space="preserve">Grandes obras</t>
  </si>
  <si>
    <t xml:space="preserve">Desbloquea la zona industrial nivel 3 (usa 12 de producción de zona).</t>
  </si>
  <si>
    <t xml:space="preserve">Gremios de constructores (T093); Andamios (T094)</t>
  </si>
  <si>
    <t xml:space="preserve">Necesaria para las Maravillas.</t>
  </si>
  <si>
    <t xml:space="preserve">T096</t>
  </si>
  <si>
    <t xml:space="preserve">Grúas</t>
  </si>
  <si>
    <t xml:space="preserve">+1 trabajador por edificio (de 3 a 4).</t>
  </si>
  <si>
    <t xml:space="preserve">Andamios (T094)</t>
  </si>
  <si>
    <t xml:space="preserve">Sigue la línea de Andamios.</t>
  </si>
  <si>
    <t xml:space="preserve">T097</t>
  </si>
  <si>
    <t xml:space="preserve">Maravillas</t>
  </si>
  <si>
    <t xml:space="preserve">Maravilla</t>
  </si>
  <si>
    <t xml:space="preserve">Permite construir la Maravilla (500 de producción, sin trabajadores, ocupa un espacio de edificio).</t>
  </si>
  <si>
    <t xml:space="preserve">Grandes obras (T095); Grúas (T096)</t>
  </si>
  <si>
    <t xml:space="preserve">Es el único edificio de nivel 5. Exige industria y almacenamiento, lo que tiene sentido.</t>
  </si>
  <si>
    <t xml:space="preserve">T098</t>
  </si>
  <si>
    <t xml:space="preserve">Logística de obra</t>
  </si>
  <si>
    <t xml:space="preserve">Las zonas industriales pueden usar producción de zonas a hasta 2 espacios de distancia.</t>
  </si>
  <si>
    <t xml:space="preserve">Reduce la dependencia de la producción local. Aclarar el costo de oro.</t>
  </si>
  <si>
    <t xml:space="preserve">T099</t>
  </si>
  <si>
    <t xml:space="preserve">Canteras de colina</t>
  </si>
  <si>
    <t xml:space="preserve">En Colinas, ingenieros y pobladores construyen usando +1 de producción adicional.</t>
  </si>
  <si>
    <t xml:space="preserve">Sumada al bono natural de las Colinas, ingenieros y pobladores construyen usando +2. Útil para el plan de edificios.</t>
  </si>
  <si>
    <t xml:space="preserve">T100</t>
  </si>
  <si>
    <t xml:space="preserve">Reciclaje</t>
  </si>
  <si>
    <t xml:space="preserve">Al destruir un edificio recuperas 3/4 de su costo (en vez de la mitad).</t>
  </si>
  <si>
    <t xml:space="preserve">Hace barato experimentar con edificios.</t>
  </si>
  <si>
    <t xml:space="preserve">T101</t>
  </si>
  <si>
    <t xml:space="preserve">Estandarización</t>
  </si>
  <si>
    <t xml:space="preserve">Construir o mejorar edificios cuesta 10 de producción menos (mínimo 10).</t>
  </si>
  <si>
    <t xml:space="preserve">Cuadrillas de obra (T092); Reciclaje (T100)</t>
  </si>
  <si>
    <t xml:space="preserve">Ahorra la mitad del costo de un edificio de nivel 1 (20 a 10); considerar un porcentaje.</t>
  </si>
  <si>
    <t xml:space="preserve">T102</t>
  </si>
  <si>
    <t xml:space="preserve">Canteras reales</t>
  </si>
  <si>
    <t xml:space="preserve">Las Maravillas cuestan 400 de producción (en vez de 500).</t>
  </si>
  <si>
    <t xml:space="preserve">Almacén de producción III (T087); Grúas (T096)</t>
  </si>
  <si>
    <t xml:space="preserve">Ventaja directa a la victoria por Maravillas: tres cuestan 1200. Solo sirve si también tienes Maravillas. Considerar limitarla o quitarla.</t>
  </si>
  <si>
    <t xml:space="preserve">T103</t>
  </si>
  <si>
    <t xml:space="preserve">Guardianes de la maravilla</t>
  </si>
  <si>
    <t xml:space="preserve">Los defensores de una zona con Maravilla tienen +2 de defensa.</t>
  </si>
  <si>
    <t xml:space="preserve">Torres de vigilancia (T175); Murallas altas (T176)</t>
  </si>
  <si>
    <t xml:space="preserve">Protege la apuesta más cara del juego. Hace más difícil el contrataque natural contra quien va ganando.</t>
  </si>
  <si>
    <t xml:space="preserve">T104</t>
  </si>
  <si>
    <t xml:space="preserve">Dominio del terreno</t>
  </si>
  <si>
    <t xml:space="preserve">Todos los bonos económicos de terreno se duplican.</t>
  </si>
  <si>
    <t xml:space="preserve">Terrazas (T027); Canteras de colina (T099)</t>
  </si>
  <si>
    <t xml:space="preserve">Fuerte y simple, pero puede volver decisivas las zonas con buen terreno.</t>
  </si>
  <si>
    <t xml:space="preserve">T105</t>
  </si>
  <si>
    <t xml:space="preserve">Hospitales</t>
  </si>
  <si>
    <t xml:space="preserve">Sanidad y población</t>
  </si>
  <si>
    <t xml:space="preserve">Hospital</t>
  </si>
  <si>
    <t xml:space="preserve">Permite construir el Hospital: los heridos de la zona se curan en la mitad de rondas (redondeando hacia arriba).</t>
  </si>
  <si>
    <t xml:space="preserve">Hace que las heridas duelan menos y vuelve atractivo pelear cerca de un hospital.</t>
  </si>
  <si>
    <t xml:space="preserve">T106</t>
  </si>
  <si>
    <t xml:space="preserve">Parteras</t>
  </si>
  <si>
    <t xml:space="preserve">Población</t>
  </si>
  <si>
    <t xml:space="preserve">El crecimiento de población cuesta 1 menos de comida (mínimo 1).</t>
  </si>
  <si>
    <t xml:space="preserve">Pequeño ahorro desde el principio: ayuda a empezar a crecer.</t>
  </si>
  <si>
    <t xml:space="preserve">T107</t>
  </si>
  <si>
    <t xml:space="preserve">Hospital civil I</t>
  </si>
  <si>
    <t xml:space="preserve">Esp.: los civiles, después de ser curados, tienen su eficiencia (cuánto producen o usan) duplicada durante dos rondas.</t>
  </si>
  <si>
    <t xml:space="preserve">Hospitales (T105)</t>
  </si>
  <si>
    <t xml:space="preserve">Buen incentivo para curar civiles. Puede ser muy fuerte si los curados son científicos o ingenieros.</t>
  </si>
  <si>
    <t xml:space="preserve">T108</t>
  </si>
  <si>
    <t xml:space="preserve">Familias numerosas</t>
  </si>
  <si>
    <t xml:space="preserve">El crecimiento de población cuesta 2 menos de comida (total, reemplaza al anterior).</t>
  </si>
  <si>
    <t xml:space="preserve">Parteras (T106)</t>
  </si>
  <si>
    <t xml:space="preserve">Premia seguir la rama. Hace falta ver cómo se combina con Edad de oro.</t>
  </si>
  <si>
    <t xml:space="preserve">T109</t>
  </si>
  <si>
    <t xml:space="preserve">Hospital civil II</t>
  </si>
  <si>
    <t xml:space="preserve">Esp.: los civiles se curan en una ronda, sin importar el daño.</t>
  </si>
  <si>
    <t xml:space="preserve">Hospital civil I (T107)</t>
  </si>
  <si>
    <t xml:space="preserve">Casi anula el costo de las heridas civiles. Combina muy bien con el sistema de capturas.</t>
  </si>
  <si>
    <t xml:space="preserve">T110</t>
  </si>
  <si>
    <t xml:space="preserve">Hospital civil III</t>
  </si>
  <si>
    <t xml:space="preserve">Esp.: todos los civiles de esta ciudad aumentan su eficiencia en 1.</t>
  </si>
  <si>
    <t xml:space="preserve">Hospital civil II (T109)</t>
  </si>
  <si>
    <t xml:space="preserve">Es más un edificio económico que un hospital. Buen cierre para la rama civil.</t>
  </si>
  <si>
    <t xml:space="preserve">T111</t>
  </si>
  <si>
    <t xml:space="preserve">Hospital imperial</t>
  </si>
  <si>
    <t xml:space="preserve">Todas las unidades del imperio tienen 2 de vida más.</t>
  </si>
  <si>
    <t xml:space="preserve">Hospital civil III (T110)</t>
  </si>
  <si>
    <t xml:space="preserve">Riesgosa: pasar de 3 a 5 de vida es +67% de resistencia para todos y desbalancea dados y armadura. Considerar +1 de vida.</t>
  </si>
  <si>
    <t xml:space="preserve">T112</t>
  </si>
  <si>
    <t xml:space="preserve">Hospital militar I</t>
  </si>
  <si>
    <t xml:space="preserve">Esp.: los militares obtienen +1 de fuerza de combate durante dos rondas después de ser curados.</t>
  </si>
  <si>
    <t xml:space="preserve">Interesante para mantener un hospital cerca del frente. Recordar que la fuerza máxima por defecto es 4.</t>
  </si>
  <si>
    <t xml:space="preserve">T113</t>
  </si>
  <si>
    <t xml:space="preserve">Medicina popular</t>
  </si>
  <si>
    <t xml:space="preserve">Los civiles heridos se curan una ronda más rápido (mínimo 1).</t>
  </si>
  <si>
    <t xml:space="preserve">Ahorra poco al inicio, pero es útil si hay muchos combates.</t>
  </si>
  <si>
    <t xml:space="preserve">T114</t>
  </si>
  <si>
    <t xml:space="preserve">Colonos</t>
  </si>
  <si>
    <t xml:space="preserve">Las zonas vacías que ocupes reciben 2 civiles gratis.</t>
  </si>
  <si>
    <t xml:space="preserve">Impulsa la expansión, que era uno de los objetivos del diseño.</t>
  </si>
  <si>
    <t xml:space="preserve">T115</t>
  </si>
  <si>
    <t xml:space="preserve">Hospital militar II</t>
  </si>
  <si>
    <t xml:space="preserve">Esp.: los militares se curan en una ronda, sin importar el daño.</t>
  </si>
  <si>
    <t xml:space="preserve">Hospital militar I (T112)</t>
  </si>
  <si>
    <t xml:space="preserve">Muy fuerte en guerras largas: elimina el tiempo de recuperación. Hace que el hospital sea un objetivo clave.</t>
  </si>
  <si>
    <t xml:space="preserve">T116</t>
  </si>
  <si>
    <t xml:space="preserve">Migraciones guiadas</t>
  </si>
  <si>
    <t xml:space="preserve">Los civiles que se mueven entre tus zonas adyacentes producen la mitad ese paso (en vez de nada).</t>
  </si>
  <si>
    <t xml:space="preserve">Familias numerosas (T108)</t>
  </si>
  <si>
    <t xml:space="preserve">Reduce una regla que pareció importante. Vigilar que no deje a los civiles demasiado móviles.</t>
  </si>
  <si>
    <t xml:space="preserve">T117</t>
  </si>
  <si>
    <t xml:space="preserve">Pobladores resistentes</t>
  </si>
  <si>
    <t xml:space="preserve">Los civiles tienen +1 de vida.</t>
  </si>
  <si>
    <t xml:space="preserve">Medicina popular (T113)</t>
  </si>
  <si>
    <t xml:space="preserve">Afecta mucho las capturas: con 4 de vida, capturar pueblos cuesta más.</t>
  </si>
  <si>
    <t xml:space="preserve">T118</t>
  </si>
  <si>
    <t xml:space="preserve">Medicina avanzada</t>
  </si>
  <si>
    <t xml:space="preserve">Los civiles heridos se curan en una ronda en todo el imperio (sin necesidad de Hospital).</t>
  </si>
  <si>
    <t xml:space="preserve">Hace redundante al Hospital civil II; considerar fusionarlas.</t>
  </si>
  <si>
    <t xml:space="preserve">T119</t>
  </si>
  <si>
    <t xml:space="preserve">Servicio médico de campaña</t>
  </si>
  <si>
    <t xml:space="preserve">Militar</t>
  </si>
  <si>
    <t xml:space="preserve">Combate</t>
  </si>
  <si>
    <t xml:space="preserve">Los militares heridos se curan una ronda más rápido (mínimo 1).</t>
  </si>
  <si>
    <t xml:space="preserve">Ayuda en guerras largas.</t>
  </si>
  <si>
    <t xml:space="preserve">T120</t>
  </si>
  <si>
    <t xml:space="preserve">Hospital militar III</t>
  </si>
  <si>
    <t xml:space="preserve">Esp.: todos los militares de esta ciudad aumentan su fuerza de combate en 1.</t>
  </si>
  <si>
    <t xml:space="preserve">Hospital militar II (T115)</t>
  </si>
  <si>
    <t xml:space="preserve">Convierte la zona en un bastión, sobre todo combinada con terreno y fortificación. Cuidado con el máximo de fuerza.</t>
  </si>
  <si>
    <t xml:space="preserve">T121</t>
  </si>
  <si>
    <t xml:space="preserve">Planificación urbana</t>
  </si>
  <si>
    <t xml:space="preserve">Cada zona tiene +1 espacio de edificio.</t>
  </si>
  <si>
    <t xml:space="preserve">Migraciones guiadas (T116)</t>
  </si>
  <si>
    <t xml:space="preserve">Rompe la regla de 1 espacio por cada 3 de tamaño y facilita mucho la victoria por edificios.</t>
  </si>
  <si>
    <t xml:space="preserve">T122</t>
  </si>
  <si>
    <t xml:space="preserve">Edad de oro</t>
  </si>
  <si>
    <t xml:space="preserve">El crecimiento de población cuesta la mitad (redondeando hacia arriba).</t>
  </si>
  <si>
    <t xml:space="preserve">Planificación urbana (T121); Familias numerosas (T108)</t>
  </si>
  <si>
    <t xml:space="preserve">Combinada con Parteras y Familias numerosas, la victoria por población (75) llega demasiado rápido.</t>
  </si>
  <si>
    <t xml:space="preserve">T123</t>
  </si>
  <si>
    <t xml:space="preserve">Embajadores</t>
  </si>
  <si>
    <t xml:space="preserve">Diplomacia e imperio</t>
  </si>
  <si>
    <t xml:space="preserve">Diplomacia</t>
  </si>
  <si>
    <t xml:space="preserve">Ves lo que piden las tribus que estén a 2 zonas de distancia (en vez de solo las vecinas).</t>
  </si>
  <si>
    <t xml:space="preserve">Adelanta decisiones de exploración. Barata.</t>
  </si>
  <si>
    <t xml:space="preserve">T124</t>
  </si>
  <si>
    <t xml:space="preserve">Censo</t>
  </si>
  <si>
    <t xml:space="preserve">Imperio</t>
  </si>
  <si>
    <t xml:space="preserve">Ves la población y los recursos de todos los jugadores.</t>
  </si>
  <si>
    <t xml:space="preserve">Información útil para saber quién está por ganar. Barata.</t>
  </si>
  <si>
    <t xml:space="preserve">T125</t>
  </si>
  <si>
    <t xml:space="preserve">Ofrendas</t>
  </si>
  <si>
    <t xml:space="preserve">Anexar una tribu cuesta un 25% menos.</t>
  </si>
  <si>
    <t xml:space="preserve">Embajadores (T123)</t>
  </si>
  <si>
    <t xml:space="preserve">Hace más atractivo anexar que conquistar.</t>
  </si>
  <si>
    <t xml:space="preserve">T126</t>
  </si>
  <si>
    <t xml:space="preserve">Capital próspera</t>
  </si>
  <si>
    <t xml:space="preserve">El bono de capital sube de +4 a +6 de producción, comida, tecnología y oro.</t>
  </si>
  <si>
    <t xml:space="preserve">Censo (T124)</t>
  </si>
  <si>
    <t xml:space="preserve">Fortalece el punto de partida, que además es objetivo de ataque.</t>
  </si>
  <si>
    <t xml:space="preserve">T127</t>
  </si>
  <si>
    <t xml:space="preserve">Diplomacia tribal</t>
  </si>
  <si>
    <t xml:space="preserve">Pagar el tributo que piden las tribus cuesta un 25% menos.</t>
  </si>
  <si>
    <t xml:space="preserve">Ofrendas (T125)</t>
  </si>
  <si>
    <t xml:space="preserve">Útil, pero depende de que el sistema de tributos esté implementado (capa 3).</t>
  </si>
  <si>
    <t xml:space="preserve">T128</t>
  </si>
  <si>
    <t xml:space="preserve">Cultura tribal</t>
  </si>
  <si>
    <t xml:space="preserve">Las tribus que anexes producen +1 de su recurso por persona durante 5 rondas.</t>
  </si>
  <si>
    <t xml:space="preserve">Diplomacia tribal (T127)</t>
  </si>
  <si>
    <t xml:space="preserve">Bonus temporal que premia anexar en vez de conquistar.</t>
  </si>
  <si>
    <t xml:space="preserve">T129</t>
  </si>
  <si>
    <t xml:space="preserve">Corte imperial</t>
  </si>
  <si>
    <t xml:space="preserve">+1 de cada recurso (comida, producción, oro y tecnología) por cada 5 zonas controladas.</t>
  </si>
  <si>
    <t xml:space="preserve">Capital próspera (T126); Cultura tribal (T128)</t>
  </si>
  <si>
    <t xml:space="preserve">Premia expandirse; con 12 zonas serían +2 de cada recurso.</t>
  </si>
  <si>
    <t xml:space="preserve">T130</t>
  </si>
  <si>
    <t xml:space="preserve">Aliados de ultratumba</t>
  </si>
  <si>
    <t xml:space="preserve">Puedes aliarte con hasta 2 fantasmas a la vez.</t>
  </si>
  <si>
    <t xml:space="preserve">Interesante, pero depende de que haya muchos fantasmas en la partida.</t>
  </si>
  <si>
    <t xml:space="preserve">T131</t>
  </si>
  <si>
    <t xml:space="preserve">Tratados de paz</t>
  </si>
  <si>
    <t xml:space="preserve">Si dos jugadores eligen paz en una zona, ninguno puede atacar ahí durante 2 rondas.</t>
  </si>
  <si>
    <t xml:space="preserve">Choca un poco con el dilema simultáneo de paz o ataque; evaluar con cuidado.</t>
  </si>
  <si>
    <t xml:space="preserve">T132</t>
  </si>
  <si>
    <t xml:space="preserve">Graneros comunes</t>
  </si>
  <si>
    <t xml:space="preserve">La comida sobrante de una zona puede enviarse a una zona adyacente propia sin pagar oro.</t>
  </si>
  <si>
    <t xml:space="preserve">Caravanas (T034)</t>
  </si>
  <si>
    <t xml:space="preserve">Útil para zonas deficitarias; reduce el uso de caminos.</t>
  </si>
  <si>
    <t xml:space="preserve">T133</t>
  </si>
  <si>
    <t xml:space="preserve">Anexión a distancia</t>
  </si>
  <si>
    <t xml:space="preserve">Puedes pagar la anexión de una tribu desde zonas a 2 espacios de distancia (no solo fronterizas).</t>
  </si>
  <si>
    <t xml:space="preserve">Ofrendas (T125); Caminos (T074)</t>
  </si>
  <si>
    <t xml:space="preserve">Aumenta el alcance de la expansión pacífica.</t>
  </si>
  <si>
    <t xml:space="preserve">T134</t>
  </si>
  <si>
    <t xml:space="preserve">Maestros de la paz</t>
  </si>
  <si>
    <t xml:space="preserve">Por cada zona en paz con otro jugador, ganas +2 de oro por paso (ambos).</t>
  </si>
  <si>
    <t xml:space="preserve">Embajadas comerciales (T045); Tratados de paz (T131)</t>
  </si>
  <si>
    <t xml:space="preserve">Premia la paz; ojo con jugadores que pacten para ganar mientras todos los demás pelean.</t>
  </si>
  <si>
    <t xml:space="preserve">T135</t>
  </si>
  <si>
    <t xml:space="preserve">Arco</t>
  </si>
  <si>
    <t xml:space="preserve">Armas y unidades</t>
  </si>
  <si>
    <t xml:space="preserve">Armas</t>
  </si>
  <si>
    <t xml:space="preserve">Unidad militar</t>
  </si>
  <si>
    <t xml:space="preserve">Permite crear arqueros.</t>
  </si>
  <si>
    <t xml:space="preserve">Primera especialización militar; da un rol distinto desde el inicio.</t>
  </si>
  <si>
    <t xml:space="preserve">T136</t>
  </si>
  <si>
    <t xml:space="preserve">Escudos</t>
  </si>
  <si>
    <t xml:space="preserve">Permite crear escuderos.</t>
  </si>
  <si>
    <t xml:space="preserve">Arco (T135)</t>
  </si>
  <si>
    <t xml:space="preserve">Da un tanque temprano.</t>
  </si>
  <si>
    <t xml:space="preserve">T137</t>
  </si>
  <si>
    <t xml:space="preserve">Doma de caballos</t>
  </si>
  <si>
    <t xml:space="preserve">Permite crear caballeros.</t>
  </si>
  <si>
    <t xml:space="preserve">Escudos (T136)</t>
  </si>
  <si>
    <t xml:space="preserve">La conexión con las Praderas le da sentido.</t>
  </si>
  <si>
    <t xml:space="preserve">T138</t>
  </si>
  <si>
    <t xml:space="preserve">Forja de hachas</t>
  </si>
  <si>
    <t xml:space="preserve">Permite crear berserkers.</t>
  </si>
  <si>
    <t xml:space="preserve">El berserker es la unidad más fuerte; que llegue en nivel 3 (con herrería) es temprano, pero su lentitud lo compensa. Vigilar.</t>
  </si>
  <si>
    <t xml:space="preserve">T139</t>
  </si>
  <si>
    <t xml:space="preserve">Carga de caballería</t>
  </si>
  <si>
    <t xml:space="preserve">Caballería</t>
  </si>
  <si>
    <t xml:space="preserve">Los caballeros atacantes tienen +1 de ataque en la primera ronda de combate.</t>
  </si>
  <si>
    <t xml:space="preserve">Doma de caballos (T137)</t>
  </si>
  <si>
    <t xml:space="preserve">Da un sabor claro de ataque rápido.</t>
  </si>
  <si>
    <t xml:space="preserve">T140</t>
  </si>
  <si>
    <t xml:space="preserve">Furia</t>
  </si>
  <si>
    <t xml:space="preserve">Berserkers</t>
  </si>
  <si>
    <t xml:space="preserve">Los berserkers atacantes tienen +1 de fuerza.</t>
  </si>
  <si>
    <t xml:space="preserve">Forja de hachas (T138)</t>
  </si>
  <si>
    <t xml:space="preserve">Los hace aún más peligrosos al atacar.</t>
  </si>
  <si>
    <t xml:space="preserve">T141</t>
  </si>
  <si>
    <t xml:space="preserve">Arsenal</t>
  </si>
  <si>
    <t xml:space="preserve">Las armas cuestan la mitad de producción.</t>
  </si>
  <si>
    <t xml:space="preserve">Carga de caballería (T139); Furia (T140)</t>
  </si>
  <si>
    <t xml:space="preserve">Útil, pero pesa poco si las armas ya son baratas.</t>
  </si>
  <si>
    <t xml:space="preserve">T142</t>
  </si>
  <si>
    <t xml:space="preserve">Arco compuesto</t>
  </si>
  <si>
    <t xml:space="preserve">Arqueros</t>
  </si>
  <si>
    <t xml:space="preserve">Los arqueros tienen +1 de fuerza.</t>
  </si>
  <si>
    <t xml:space="preserve">Hace que los arqueros mantengan su rol de daño a distancia.</t>
  </si>
  <si>
    <t xml:space="preserve">T143</t>
  </si>
  <si>
    <t xml:space="preserve">Escudos reforzados</t>
  </si>
  <si>
    <t xml:space="preserve">Escuderos</t>
  </si>
  <si>
    <t xml:space="preserve">Los escuderos tienen +1 de defensa (de 2 a 3).</t>
  </si>
  <si>
    <t xml:space="preserve">Cumple el rol de tanque; cuidado con Fortificación.</t>
  </si>
  <si>
    <t xml:space="preserve">T144</t>
  </si>
  <si>
    <t xml:space="preserve">Armaduras ligeras</t>
  </si>
  <si>
    <t xml:space="preserve">Entrenamiento</t>
  </si>
  <si>
    <t xml:space="preserve">Todos los militares, excepto los escuderos, tienen +1 de defensa.</t>
  </si>
  <si>
    <t xml:space="preserve">Aumenta la vida efectiva de todo el ejército; revisar con el simulador.</t>
  </si>
  <si>
    <t xml:space="preserve">T145</t>
  </si>
  <si>
    <t xml:space="preserve">Ingeniería de asedio</t>
  </si>
  <si>
    <t xml:space="preserve">Máquinas de asedio</t>
  </si>
  <si>
    <t xml:space="preserve">Permite crear arietes de nivel 1 (anulan 1 de defensa de la Fortificación). Se construyen en el Cuartel con producción.</t>
  </si>
  <si>
    <t xml:space="preserve">Responde a tu idea de máquinas que anulan la defensa extra de las fortificaciones. Es el contrapeso natural de Fortificación III.</t>
  </si>
  <si>
    <t xml:space="preserve">T146</t>
  </si>
  <si>
    <t xml:space="preserve">Lanzapiedras</t>
  </si>
  <si>
    <t xml:space="preserve">Permite crear lanzapiedras de nivel 1 (1 de daño por unidad del grupo objetivo). Se construyen en el Cuartel con producción.</t>
  </si>
  <si>
    <t xml:space="preserve">Daño de área desde el nivel 3. Muy fuerte contra grupos grandes y contra civiles; probar en la simulación.</t>
  </si>
  <si>
    <t xml:space="preserve">T147</t>
  </si>
  <si>
    <t xml:space="preserve">Flechas de fuego</t>
  </si>
  <si>
    <t xml:space="preserve">Los arqueros reducen en 1 la defensa de sus objetivos.</t>
  </si>
  <si>
    <t xml:space="preserve">Arco compuesto (T142)</t>
  </si>
  <si>
    <t xml:space="preserve">Buen contra escuderos y fortificaciones; puede dar demasiado poder a los arqueros.</t>
  </si>
  <si>
    <t xml:space="preserve">T148</t>
  </si>
  <si>
    <t xml:space="preserve">Caballería pesada</t>
  </si>
  <si>
    <t xml:space="preserve">Los caballeros tienen +1 de vida.</t>
  </si>
  <si>
    <t xml:space="preserve">Los vuelve duraderos; vigilar con los terrenos.</t>
  </si>
  <si>
    <t xml:space="preserve">T149</t>
  </si>
  <si>
    <t xml:space="preserve">Falange</t>
  </si>
  <si>
    <t xml:space="preserve">Los escuderos actúan con iniciativa 5 (en vez de 8).</t>
  </si>
  <si>
    <t xml:space="preserve">Escudos reforzados (T143)</t>
  </si>
  <si>
    <t xml:space="preserve">Cambia el momento en que reciben y reparten daño.</t>
  </si>
  <si>
    <t xml:space="preserve">T150</t>
  </si>
  <si>
    <t xml:space="preserve">Arietes reforzados</t>
  </si>
  <si>
    <t xml:space="preserve">Los arietes pasan a nivel 2: anulan 2 de defensa de la Fortificación.</t>
  </si>
  <si>
    <t xml:space="preserve">Ingeniería de asedio (T145)</t>
  </si>
  <si>
    <t xml:space="preserve">Sigue la línea de los niveles de Fortificación (+1, +2, +3).</t>
  </si>
  <si>
    <t xml:space="preserve">T151</t>
  </si>
  <si>
    <t xml:space="preserve">Contrapesos</t>
  </si>
  <si>
    <t xml:space="preserve">Los lanzapiedras pasan a nivel 2: +1 de fuerza (3 dados).</t>
  </si>
  <si>
    <t xml:space="preserve">Lanzapiedras (T146)</t>
  </si>
  <si>
    <t xml:space="preserve">Sube el daño de área; vigilar con grupos de civiles.</t>
  </si>
  <si>
    <t xml:space="preserve">T152</t>
  </si>
  <si>
    <t xml:space="preserve">Lluvia de flechas</t>
  </si>
  <si>
    <t xml:space="preserve">Los arqueros actúan con iniciativa 0.</t>
  </si>
  <si>
    <t xml:space="preserve">Flechas de fuego (T147)</t>
  </si>
  <si>
    <t xml:space="preserve">Se pone antes que los caballeros con terreno; la combinación puede ser fuerte.</t>
  </si>
  <si>
    <t xml:space="preserve">T153</t>
  </si>
  <si>
    <t xml:space="preserve">Jinetes veloces</t>
  </si>
  <si>
    <t xml:space="preserve">Movimiento</t>
  </si>
  <si>
    <t xml:space="preserve">Los caballeros pueden moverse 1 zona extra sin pagar oro adicional.</t>
  </si>
  <si>
    <t xml:space="preserve">Caballería pesada (T148); Camino militar II (T089)</t>
  </si>
  <si>
    <t xml:space="preserve">Fuerte en mapas grandes.</t>
  </si>
  <si>
    <t xml:space="preserve">T154</t>
  </si>
  <si>
    <t xml:space="preserve">Tortuga</t>
  </si>
  <si>
    <t xml:space="preserve">Los escuderos defensores tienen +2 de defensa.</t>
  </si>
  <si>
    <t xml:space="preserve">Falange (T149)</t>
  </si>
  <si>
    <t xml:space="preserve">Con Fortificación III pueden volverse casi imposibles de matar.</t>
  </si>
  <si>
    <t xml:space="preserve">T155</t>
  </si>
  <si>
    <t xml:space="preserve">Frenesí</t>
  </si>
  <si>
    <t xml:space="preserve">Los berserkers actúan con iniciativa 4 (en vez de 6).</t>
  </si>
  <si>
    <t xml:space="preserve">Furia (T140)</t>
  </si>
  <si>
    <t xml:space="preserve">Los vuelve más rápidos; vigilar el balance con arqueros.</t>
  </si>
  <si>
    <t xml:space="preserve">T156</t>
  </si>
  <si>
    <t xml:space="preserve">Gran ariete</t>
  </si>
  <si>
    <t xml:space="preserve">Los arietes pasan a nivel 3: anulan 3 de defensa de la Fortificación.</t>
  </si>
  <si>
    <t xml:space="preserve">Arietes reforzados (T150)</t>
  </si>
  <si>
    <t xml:space="preserve">Casi anula una Fortificación III. Deja a la Ciudadela (+4) como único contrapeso.</t>
  </si>
  <si>
    <t xml:space="preserve">T157</t>
  </si>
  <si>
    <t xml:space="preserve">Trabucos</t>
  </si>
  <si>
    <t xml:space="preserve">Los lanzapiedras pasan a nivel 3: +1 de ataque (2 de daño por unidad).</t>
  </si>
  <si>
    <t xml:space="preserve">Contrapesos (T151)</t>
  </si>
  <si>
    <t xml:space="preserve">El daño de área llega a su máximo; es el elemento de mayor riesgo del combate.</t>
  </si>
  <si>
    <t xml:space="preserve">T158</t>
  </si>
  <si>
    <t xml:space="preserve">Cuarteles</t>
  </si>
  <si>
    <t xml:space="preserve">Cuartel y entrenamiento</t>
  </si>
  <si>
    <t xml:space="preserve">Cuartel</t>
  </si>
  <si>
    <t xml:space="preserve">Permite construir el Cuartel: los militares que trabajan ahí no consumen comida y, al movilizarse, pueden moverse una zona extra en un turno (el movimiento sigue costando oro).</t>
  </si>
  <si>
    <t xml:space="preserve">El motor de cualquier plan militar. Su ventaja económica es clara y el movimiento extra da ritmo.</t>
  </si>
  <si>
    <t xml:space="preserve">T159</t>
  </si>
  <si>
    <t xml:space="preserve">Marcha forzada</t>
  </si>
  <si>
    <t xml:space="preserve">El Cuartel permite moverse 2 zonas extra en un turno (en vez de 1).</t>
  </si>
  <si>
    <t xml:space="preserve">Cuarteles (T158)</t>
  </si>
  <si>
    <t xml:space="preserve">En mapas con capitales a 3-7 pasos acelera mucho las guerras. Cada zona extra sigue costando oro.</t>
  </si>
  <si>
    <t xml:space="preserve">T160</t>
  </si>
  <si>
    <t xml:space="preserve">Entrenamiento continuo</t>
  </si>
  <si>
    <t xml:space="preserve">Los militares ganan +2 de fuerza por ronda (en vez de +1) hasta el máximo.</t>
  </si>
  <si>
    <t xml:space="preserve">Premia mantener un ejército en pie.</t>
  </si>
  <si>
    <t xml:space="preserve">T161</t>
  </si>
  <si>
    <t xml:space="preserve">Campo de entrenamiento</t>
  </si>
  <si>
    <t xml:space="preserve">Esp.: los militares entrenados aquí empiezan con +1 de fuerza (hasta el máximo).</t>
  </si>
  <si>
    <t xml:space="preserve">Entrenamiento continuo (T160)</t>
  </si>
  <si>
    <t xml:space="preserve">Da una ventaja real a quien invierte en un cuartel central.</t>
  </si>
  <si>
    <t xml:space="preserve">T162</t>
  </si>
  <si>
    <t xml:space="preserve">Guardia de élite</t>
  </si>
  <si>
    <t xml:space="preserve">Esp.: los militares que trabajan en este Cuartel tienen +1 de defensa.</t>
  </si>
  <si>
    <t xml:space="preserve">Campo de entrenamiento (T161)</t>
  </si>
  <si>
    <t xml:space="preserve">Convierte a los trabajadores del cuartel en una guarnición fuerte en el lugar donde están.</t>
  </si>
  <si>
    <t xml:space="preserve">T163</t>
  </si>
  <si>
    <t xml:space="preserve">Veteranos</t>
  </si>
  <si>
    <t xml:space="preserve">El máximo de fuerza militar sube de 4 a 5.</t>
  </si>
  <si>
    <t xml:space="preserve">Guardia de élite (T162)</t>
  </si>
  <si>
    <t xml:space="preserve">Cambia el techo de todo el combate; probar con cuidado.</t>
  </si>
  <si>
    <t xml:space="preserve">T164</t>
  </si>
  <si>
    <t xml:space="preserve">Cuartel de instrucción</t>
  </si>
  <si>
    <t xml:space="preserve">Esp.: convertir un civil en soldado en este Cuartel cuesta 1 de producción menos.</t>
  </si>
  <si>
    <t xml:space="preserve">Ahorro modesto (de 2 a 1 de producción), pero útil para reclutar masivamente.</t>
  </si>
  <si>
    <t xml:space="preserve">T165</t>
  </si>
  <si>
    <t xml:space="preserve">Lanceros</t>
  </si>
  <si>
    <t xml:space="preserve">Los soldados básicos tienen +1 de ataque cuando defienden.</t>
  </si>
  <si>
    <t xml:space="preserve">Da un rol propio al soldado básico.</t>
  </si>
  <si>
    <t xml:space="preserve">T166</t>
  </si>
  <si>
    <t xml:space="preserve">Mercenarios</t>
  </si>
  <si>
    <t xml:space="preserve">Puedes convertir 4 de oro en 1 soldado básico (sin Cuartel).</t>
  </si>
  <si>
    <t xml:space="preserve">Moneda (T032); Cuarteles (T158)</t>
  </si>
  <si>
    <t xml:space="preserve">Convierte oro en ejército; puede romper la economía si el oro abunda.</t>
  </si>
  <si>
    <t xml:space="preserve">T167</t>
  </si>
  <si>
    <t xml:space="preserve">Estandarte</t>
  </si>
  <si>
    <t xml:space="preserve">Los militares en la misma zona que tu capital tienen +1 de fuerza.</t>
  </si>
  <si>
    <t xml:space="preserve">Capital próspera (T126); Cuarteles (T158)</t>
  </si>
  <si>
    <t xml:space="preserve">Hace más fuerte la defensa de la capital.</t>
  </si>
  <si>
    <t xml:space="preserve">T168</t>
  </si>
  <si>
    <t xml:space="preserve">Reservistas</t>
  </si>
  <si>
    <t xml:space="preserve">Convertir militares en civiles no cuesta producción.</t>
  </si>
  <si>
    <t xml:space="preserve">Hace barato pasar de guerra a paz; evita ejércitos inútiles.</t>
  </si>
  <si>
    <t xml:space="preserve">T169</t>
  </si>
  <si>
    <t xml:space="preserve">Veteranos de guerra</t>
  </si>
  <si>
    <t xml:space="preserve">Los militares que sobreviven a 3 combates tienen +1 de defensa.</t>
  </si>
  <si>
    <t xml:space="preserve">Premia a quien mantiene ejércitos vivos; requiere llevar la cuenta de combates por unidad.</t>
  </si>
  <si>
    <t xml:space="preserve">T170</t>
  </si>
  <si>
    <t xml:space="preserve">Marcha relámpago</t>
  </si>
  <si>
    <t xml:space="preserve">El Cuartel permite moverse 3 zonas extra en un turno.</t>
  </si>
  <si>
    <t xml:space="preserve">Marcha forzada (T159); Suministros de campaña (T197)</t>
  </si>
  <si>
    <t xml:space="preserve">Casi teletransporta ejércitos y puede romper la idea de 'un paso = una decisión'. Solo sensata con el costo en oro.</t>
  </si>
  <si>
    <t xml:space="preserve">T171</t>
  </si>
  <si>
    <t xml:space="preserve">Ejército permanente</t>
  </si>
  <si>
    <t xml:space="preserve">Todos los militares de la zona del Cuartel dejan de consumir comida (no solo los que trabajan en él).</t>
  </si>
  <si>
    <t xml:space="preserve">Guardia de élite (T162); Marcha relámpago (T170)</t>
  </si>
  <si>
    <t xml:space="preserve">Muy fuerte como economía de guerra: con varios cuarteles se sostienen ejércitos enormes casi gratis. Vigilar.</t>
  </si>
  <si>
    <t xml:space="preserve">T172</t>
  </si>
  <si>
    <t xml:space="preserve">Fortificaciones</t>
  </si>
  <si>
    <t xml:space="preserve">Defensa</t>
  </si>
  <si>
    <t xml:space="preserve">Fortificación</t>
  </si>
  <si>
    <t xml:space="preserve">Permite construir la Fortificación: los defensores de la zona tienen +1 de defensa.</t>
  </si>
  <si>
    <t xml:space="preserve">La base de toda defensa. Simple de entender y barata.</t>
  </si>
  <si>
    <t xml:space="preserve">T173</t>
  </si>
  <si>
    <t xml:space="preserve">Fortificación II</t>
  </si>
  <si>
    <t xml:space="preserve">Los defensores tienen +2 de defensa (en vez de +1).</t>
  </si>
  <si>
    <t xml:space="preserve">Fortificaciones (T172)</t>
  </si>
  <si>
    <t xml:space="preserve">Buen salto para zonas clave como la capital.</t>
  </si>
  <si>
    <t xml:space="preserve">T174</t>
  </si>
  <si>
    <t xml:space="preserve">Fortificación III</t>
  </si>
  <si>
    <t xml:space="preserve">Los defensores tienen +3 de defensa (en vez de +1).</t>
  </si>
  <si>
    <t xml:space="preserve">Fortificación II (T173)</t>
  </si>
  <si>
    <t xml:space="preserve">Con 3 de defensa y 3 de vida, cada unidad absorbe 6 de daño. Hacen falta los arietes de asedio para no volver inconquistables las zonas fuertes.</t>
  </si>
  <si>
    <t xml:space="preserve">T175</t>
  </si>
  <si>
    <t xml:space="preserve">Torres de vigilancia</t>
  </si>
  <si>
    <t xml:space="preserve">Esp.: los arqueros defensores de la zona tienen +1 de fuerza.</t>
  </si>
  <si>
    <t xml:space="preserve">Fortificación III (T174)</t>
  </si>
  <si>
    <t xml:space="preserve">Une dos ramas con sentido. Se suma a los bonos de Ríos y de Hospital.</t>
  </si>
  <si>
    <t xml:space="preserve">T176</t>
  </si>
  <si>
    <t xml:space="preserve">Murallas altas</t>
  </si>
  <si>
    <t xml:space="preserve">Esp.: los atacantes no tienen ventaja de sorpresa contra esta zona.</t>
  </si>
  <si>
    <t xml:space="preserve">Defensa contra el ataque sorpresa, que es una pieza clave del dilema paz/ataque.</t>
  </si>
  <si>
    <t xml:space="preserve">T177</t>
  </si>
  <si>
    <t xml:space="preserve">Ciudadela</t>
  </si>
  <si>
    <t xml:space="preserve">Los defensores tienen +4 de defensa y +1 de vida.</t>
  </si>
  <si>
    <t xml:space="preserve">Hace casi inconquistable una zona. Necesita contrapesos como los arietes de asedio.</t>
  </si>
  <si>
    <t xml:space="preserve">T178</t>
  </si>
  <si>
    <t xml:space="preserve">Guardia ribereña</t>
  </si>
  <si>
    <t xml:space="preserve">Terreno militar</t>
  </si>
  <si>
    <t xml:space="preserve">En Ríos, los arqueros defensores tienen +1 de fuerza adicional.</t>
  </si>
  <si>
    <t xml:space="preserve">Con Ríos ya dando +1 de fuerza a arqueros defensores, esto los lleva a +2. Hace muy duras las zonas de río.</t>
  </si>
  <si>
    <t xml:space="preserve">T179</t>
  </si>
  <si>
    <t xml:space="preserve">Trampas</t>
  </si>
  <si>
    <t xml:space="preserve">Los atacantes de una zona con Fortificación reciben 1 de daño por unidad al entrar.</t>
  </si>
  <si>
    <t xml:space="preserve">Divertido, pero requiere llevar la cuenta del daño.</t>
  </si>
  <si>
    <t xml:space="preserve">T180</t>
  </si>
  <si>
    <t xml:space="preserve">Capital fortificada</t>
  </si>
  <si>
    <t xml:space="preserve">Los defensores de tu capital tienen +2 de defensa.</t>
  </si>
  <si>
    <t xml:space="preserve">Capital próspera (T126); Fortificaciones (T172)</t>
  </si>
  <si>
    <t xml:space="preserve">Hace más costosa la derrota de la capital (condición Militar).</t>
  </si>
  <si>
    <t xml:space="preserve">T181</t>
  </si>
  <si>
    <t xml:space="preserve">Ingenieros militares</t>
  </si>
  <si>
    <t xml:space="preserve">Las Fortificaciones cuestan la mitad de producción.</t>
  </si>
  <si>
    <t xml:space="preserve">Fortificaciones (T172); Herramientas (T018)</t>
  </si>
  <si>
    <t xml:space="preserve">Ahorro moderado.</t>
  </si>
  <si>
    <t xml:space="preserve">T182</t>
  </si>
  <si>
    <t xml:space="preserve">Carga en la pradera</t>
  </si>
  <si>
    <t xml:space="preserve">En Praderas, los caballeros defensores tienen +1 de ataque.</t>
  </si>
  <si>
    <t xml:space="preserve">Los caballeros defensores ya actúan con iniciativa 0 en Praderas; el +1 de ataque los vuelve muy letales al defender.</t>
  </si>
  <si>
    <t xml:space="preserve">T183</t>
  </si>
  <si>
    <t xml:space="preserve">Fortaleza de montaña</t>
  </si>
  <si>
    <t xml:space="preserve">En Montañas, los berserkers defensores actúan con iniciativa 1.</t>
  </si>
  <si>
    <t xml:space="preserve">Con iniciativa 2 en Montañas ya eran rápidos; con 1 casi siempre golpean antes que casi todo el ejército enemigo.</t>
  </si>
  <si>
    <t xml:space="preserve">T184</t>
  </si>
  <si>
    <t xml:space="preserve">Exploradores</t>
  </si>
  <si>
    <t xml:space="preserve">Guerra y conquista</t>
  </si>
  <si>
    <t xml:space="preserve">Ves a los militares de las zonas vecinas a tus fronteras.</t>
  </si>
  <si>
    <t xml:space="preserve">Información básica; barata.</t>
  </si>
  <si>
    <t xml:space="preserve">T185</t>
  </si>
  <si>
    <t xml:space="preserve">Saqueo</t>
  </si>
  <si>
    <t xml:space="preserve">Conquista</t>
  </si>
  <si>
    <t xml:space="preserve">Al conquistar una zona recibes todo (no solo la mitad) de la producción recuperada al retirar edificios.</t>
  </si>
  <si>
    <t xml:space="preserve">Exploradores (T184)</t>
  </si>
  <si>
    <t xml:space="preserve">Hace más rentable conquistar.</t>
  </si>
  <si>
    <t xml:space="preserve">T186</t>
  </si>
  <si>
    <t xml:space="preserve">Contraespionaje</t>
  </si>
  <si>
    <t xml:space="preserve">Los demás jugadores no ven tus militares en tus zonas fronterizas.</t>
  </si>
  <si>
    <t xml:space="preserve">Contrapeso a Exploradores.</t>
  </si>
  <si>
    <t xml:space="preserve">T187</t>
  </si>
  <si>
    <t xml:space="preserve">Administradores</t>
  </si>
  <si>
    <t xml:space="preserve">Las zonas que conquistas quedan en tamaño 4 (en vez de 3).</t>
  </si>
  <si>
    <t xml:space="preserve">Saqueo (T185)</t>
  </si>
  <si>
    <t xml:space="preserve">Hace más valiosa la conquista; pesa poco si los tamaños suben rápido.</t>
  </si>
  <si>
    <t xml:space="preserve">T188</t>
  </si>
  <si>
    <t xml:space="preserve">Emboscadas</t>
  </si>
  <si>
    <t xml:space="preserve">Tu ventaja de sorpresa al atacar se duplica.</t>
  </si>
  <si>
    <t xml:space="preserve">Contraespionaje (T186)</t>
  </si>
  <si>
    <t xml:space="preserve">Refuerza el dilema paz o ataque.</t>
  </si>
  <si>
    <t xml:space="preserve">T189</t>
  </si>
  <si>
    <t xml:space="preserve">Reconstrucción</t>
  </si>
  <si>
    <t xml:space="preserve">Al conquistar, recuperas 3/4 (en vez de la mitad) de la producción de los edificios retirados.</t>
  </si>
  <si>
    <t xml:space="preserve">Administradores (T187)</t>
  </si>
  <si>
    <t xml:space="preserve">Hace la conquista más lucrativa.</t>
  </si>
  <si>
    <t xml:space="preserve">T190</t>
  </si>
  <si>
    <t xml:space="preserve">Contraataque</t>
  </si>
  <si>
    <t xml:space="preserve">Los defensores tienen +1 de fuerza en el primer combate después de ser atacados.</t>
  </si>
  <si>
    <t xml:space="preserve">Emboscadas (T188); Reconstrucción (T189)</t>
  </si>
  <si>
    <t xml:space="preserve">Refuerza la defensa de quien ya sufrió un ataque. Cuidado con el balance entre ataque y defensa.</t>
  </si>
  <si>
    <t xml:space="preserve">T191</t>
  </si>
  <si>
    <t xml:space="preserve">Caminos militares</t>
  </si>
  <si>
    <t xml:space="preserve">Mover unidades militares cuesta la mitad de oro (redondeando hacia arriba).</t>
  </si>
  <si>
    <t xml:space="preserve">Reduce el costo del movimiento militar, que hoy es caro.</t>
  </si>
  <si>
    <t xml:space="preserve">T192</t>
  </si>
  <si>
    <t xml:space="preserve">Emboscada en el bosque</t>
  </si>
  <si>
    <t xml:space="preserve">En Bosques, los arqueros atacantes tienen +1 de fuerza adicional.</t>
  </si>
  <si>
    <t xml:space="preserve">Con Bosques ya dando +1 de fuerza a arqueros atacantes, esto los lleva a +2: mucho daño desde la primera ola. Vigilar.</t>
  </si>
  <si>
    <t xml:space="preserve">T193</t>
  </si>
  <si>
    <t xml:space="preserve">Botín</t>
  </si>
  <si>
    <t xml:space="preserve">Recibes 1 de oro por cada enemigo que mates en combate.</t>
  </si>
  <si>
    <t xml:space="preserve">Premia pelear bien.</t>
  </si>
  <si>
    <t xml:space="preserve">T194</t>
  </si>
  <si>
    <t xml:space="preserve">Guarniciones</t>
  </si>
  <si>
    <t xml:space="preserve">Los militares que se quedan en zonas propias consumen 1 de comida (en vez de 2).</t>
  </si>
  <si>
    <t xml:space="preserve">Reduce el costo de mantener ejército en casa; incentiva defender.</t>
  </si>
  <si>
    <t xml:space="preserve">T195</t>
  </si>
  <si>
    <t xml:space="preserve">Prisioneros</t>
  </si>
  <si>
    <t xml:space="preserve">Los civiles capturados quedan con 2 de vida (en vez de 1).</t>
  </si>
  <si>
    <t xml:space="preserve">Botín (T193)</t>
  </si>
  <si>
    <t xml:space="preserve">Acorta el tiempo de recuperación de los capturados.</t>
  </si>
  <si>
    <t xml:space="preserve">T196</t>
  </si>
  <si>
    <t xml:space="preserve">Moral</t>
  </si>
  <si>
    <t xml:space="preserve">Tus unidades heridas pelean con 3/4 de fuerza (en vez de la mitad).</t>
  </si>
  <si>
    <t xml:space="preserve">Afecta mucho los combates en guerras largas.</t>
  </si>
  <si>
    <t xml:space="preserve">T197</t>
  </si>
  <si>
    <t xml:space="preserve">Suministros de campaña</t>
  </si>
  <si>
    <t xml:space="preserve">Los militares fuera de tus zonas consumen 1 de comida (en vez de 2).</t>
  </si>
  <si>
    <t xml:space="preserve">Caminos militares (T191); Almacenes (T073)</t>
  </si>
  <si>
    <t xml:space="preserve">Reduce el costo de campañas largas.</t>
  </si>
  <si>
    <t xml:space="preserve">T198</t>
  </si>
  <si>
    <t xml:space="preserve">Caballería de llanura</t>
  </si>
  <si>
    <t xml:space="preserve">En Llanuras, los caballeros atacantes tienen +1 de fuerza.</t>
  </si>
  <si>
    <t xml:space="preserve">Los caballeros atacantes ya actúan con iniciativa 0 en Llanuras; con +1 de fuerza son una amenaza clara para zonas llanas.</t>
  </si>
  <si>
    <t xml:space="preserve">T199</t>
  </si>
  <si>
    <t xml:space="preserve">Asalto de colina</t>
  </si>
  <si>
    <t xml:space="preserve">En Colinas, los berserkers atacantes tienen +1 de fuerza.</t>
  </si>
  <si>
    <t xml:space="preserve">Con iniciativa 2 al atacar en Colinas ya eran rápidos; el +1 de fuerza los vuelve la mejor opción de ataque.</t>
  </si>
  <si>
    <t xml:space="preserve">T200</t>
  </si>
  <si>
    <t xml:space="preserve">Caballos de carga</t>
  </si>
  <si>
    <t xml:space="preserve">Los militares pueden llevar hasta 5 unidades de comida o producción al moverse.</t>
  </si>
  <si>
    <t xml:space="preserve">Suministros de campaña (T197); Camino civil I (T075)</t>
  </si>
  <si>
    <t xml:space="preserve">Logística militar propia; depende de aclarar cuánto cuesta cada transporte.</t>
  </si>
  <si>
    <t xml:space="preserve">T201</t>
  </si>
  <si>
    <t xml:space="preserve">Intimidación</t>
  </si>
  <si>
    <t xml:space="preserve">Si tu fuerza total en una zona es el triple que la del defensor, la zona se rinde sin combate.</t>
  </si>
  <si>
    <t xml:space="preserve">Contraespionaje (T186); Botín (T193)</t>
  </si>
  <si>
    <t xml:space="preserve">Evita combates desiguales; es una regla nueva y hay que definir bien su detalle.</t>
  </si>
  <si>
    <t xml:space="preserve">T202</t>
  </si>
  <si>
    <t xml:space="preserve">Guerra relámpago</t>
  </si>
  <si>
    <t xml:space="preserve">Una vez cada 10 rondas, un ejército puede moverse el doble de zonas.</t>
  </si>
  <si>
    <t xml:space="preserve">Marcha relámpago (T170); Caballos de carga (T200)</t>
  </si>
  <si>
    <t xml:space="preserve">Casi un teletransporte con enfriamiento; puede volver impredecible el ritmo.</t>
  </si>
  <si>
    <t xml:space="preserve">T203</t>
  </si>
  <si>
    <t xml:space="preserve">Imperio conquistador</t>
  </si>
  <si>
    <t xml:space="preserve">Las zonas que conquistas conservan hasta 2 edificios (en vez de 1) y mantienen su tamaño original.</t>
  </si>
  <si>
    <t xml:space="preserve">Administradores (T187); Reconstrucción (T189)</t>
  </si>
  <si>
    <t xml:space="preserve">Muy fuerte: rompe la regla de bajar a tamaño 3 y refuerza la bola de nieve.</t>
  </si>
  <si>
    <t xml:space="preserve">Las 12 ramas y su columna vertebral</t>
  </si>
  <si>
    <t xml:space="preserve">Costo hasta nivel 4 = lo necesario para poder investigar el nivel 5 de la rama. Costo de la columna = incluye la tecnología vertebral de nivel 5.</t>
  </si>
  <si>
    <t xml:space="preserve">Tecnologías</t>
  </si>
  <si>
    <t xml:space="preserve">Vertebrales</t>
  </si>
  <si>
    <t xml:space="preserve">Opcionales</t>
  </si>
  <si>
    <t xml:space="preserve">Costo hasta nivel 4 (columna)</t>
  </si>
  <si>
    <t xml:space="preserve">Costo de la columna completa</t>
  </si>
  <si>
    <t xml:space="preserve">Valoración media</t>
  </si>
  <si>
    <t xml:space="preserve">Riesgo alto</t>
  </si>
  <si>
    <t xml:space="preserve">Total</t>
  </si>
  <si>
    <t xml:space="preserve">Resumen del árbol</t>
  </si>
  <si>
    <t xml:space="preserve">Tecnologías por nivel y tipo</t>
  </si>
  <si>
    <t xml:space="preserve">Costo c/u</t>
  </si>
  <si>
    <t xml:space="preserve">Costo total</t>
  </si>
  <si>
    <t xml:space="preserve">Origen y valoración</t>
  </si>
  <si>
    <t xml:space="preserve">Cantidad</t>
  </si>
  <si>
    <t xml:space="preserve">Todas</t>
  </si>
  <si>
    <t xml:space="preserve">Riesgo</t>
  </si>
  <si>
    <t xml:space="preserve">Columna vertebral y opcionales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</si>
</sst>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General"/>
    <numFmt numFmtId="167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CE8EA"/>
        <bgColor rgb="FFD9E7F7"/>
      </patternFill>
    </fill>
    <fill>
      <patternFill patternType="solid">
        <fgColor rgb="FFFFF2B3"/>
        <bgColor rgb="FFFFF3C4"/>
      </patternFill>
    </fill>
    <fill>
      <patternFill patternType="solid">
        <fgColor rgb="FF1F3A44"/>
        <bgColor rgb="FF003366"/>
      </patternFill>
    </fill>
    <fill>
      <patternFill patternType="solid">
        <fgColor rgb="FFE7F1E2"/>
        <bgColor rgb="FFDCE8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3A44"/>
          <bgColor rgb="FF000000"/>
        </patternFill>
      </fill>
    </dxf>
    <dxf>
      <fill>
        <patternFill patternType="solid">
          <fgColor rgb="FFE7F1E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7F7"/>
          <bgColor rgb="FF000000"/>
        </patternFill>
      </fill>
    </dxf>
    <dxf>
      <fill>
        <patternFill patternType="solid">
          <fgColor rgb="FFB7E1B5"/>
          <bgColor rgb="FF000000"/>
        </patternFill>
      </fill>
    </dxf>
    <dxf>
      <fill>
        <patternFill patternType="solid">
          <fgColor rgb="FFDBEABD"/>
          <bgColor rgb="FF000000"/>
        </patternFill>
      </fill>
    </dxf>
    <dxf>
      <fill>
        <patternFill patternType="solid">
          <fgColor rgb="FFF9D4BA"/>
          <bgColor rgb="FF000000"/>
        </patternFill>
      </fill>
    </dxf>
    <dxf>
      <fill>
        <patternFill patternType="solid">
          <fgColor rgb="FFFFF3C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F3C4"/>
        </patternFill>
      </fill>
    </dxf>
    <dxf>
      <fill>
        <patternFill>
          <bgColor rgb="FFD9E7F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3C4"/>
      <rgbColor rgb="FFD9E7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8EA"/>
      <rgbColor rgb="FFE7F1E2"/>
      <rgbColor rgb="FFFFF2B3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4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8"/>
    <col collapsed="false" customWidth="true" hidden="false" outlineLevel="0" max="3" min="3" style="0" width="14"/>
    <col collapsed="false" customWidth="true" hidden="false" outlineLevel="0" max="4" min="4" style="0" width="92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4"/>
      <c r="D4" s="4"/>
    </row>
    <row r="5" customFormat="false" ht="15" hidden="false" customHeight="false" outlineLevel="0" collapsed="false">
      <c r="B5" s="5" t="s">
        <v>3</v>
      </c>
      <c r="C5" s="6" t="n">
        <v>20</v>
      </c>
      <c r="D5" s="7" t="s">
        <v>4</v>
      </c>
    </row>
    <row r="6" customFormat="false" ht="23.85" hidden="false" customHeight="false" outlineLevel="0" collapsed="false">
      <c r="B6" s="5" t="s">
        <v>5</v>
      </c>
      <c r="C6" s="6" t="n">
        <v>3</v>
      </c>
      <c r="D6" s="7" t="s">
        <v>6</v>
      </c>
    </row>
    <row r="7" customFormat="false" ht="23.85" hidden="false" customHeight="false" outlineLevel="0" collapsed="false">
      <c r="B7" s="5" t="s">
        <v>7</v>
      </c>
      <c r="C7" s="6" t="n">
        <v>5</v>
      </c>
      <c r="D7" s="7" t="s">
        <v>8</v>
      </c>
    </row>
    <row r="8" customFormat="false" ht="23.85" hidden="false" customHeight="false" outlineLevel="0" collapsed="false">
      <c r="B8" s="5" t="s">
        <v>9</v>
      </c>
      <c r="C8" s="6" t="n">
        <v>6</v>
      </c>
      <c r="D8" s="7" t="s">
        <v>8</v>
      </c>
    </row>
    <row r="9" customFormat="false" ht="23.85" hidden="false" customHeight="false" outlineLevel="0" collapsed="false">
      <c r="B9" s="5" t="s">
        <v>10</v>
      </c>
      <c r="C9" s="6" t="n">
        <v>6</v>
      </c>
      <c r="D9" s="7" t="s">
        <v>8</v>
      </c>
    </row>
    <row r="11" customFormat="false" ht="15" hidden="false" customHeight="false" outlineLevel="0" collapsed="false">
      <c r="B11" s="3" t="s">
        <v>11</v>
      </c>
      <c r="C11" s="4"/>
      <c r="D11" s="4"/>
    </row>
    <row r="12" customFormat="false" ht="31.5" hidden="false" customHeight="true" outlineLevel="0" collapsed="false">
      <c r="B12" s="8" t="s">
        <v>12</v>
      </c>
      <c r="C12" s="8"/>
      <c r="D12" s="8"/>
    </row>
    <row r="13" customFormat="false" ht="31.5" hidden="false" customHeight="true" outlineLevel="0" collapsed="false">
      <c r="B13" s="8" t="s">
        <v>13</v>
      </c>
      <c r="C13" s="8"/>
      <c r="D13" s="8"/>
    </row>
    <row r="14" customFormat="false" ht="31.5" hidden="false" customHeight="true" outlineLevel="0" collapsed="false">
      <c r="B14" s="8" t="s">
        <v>14</v>
      </c>
      <c r="C14" s="8"/>
      <c r="D14" s="8"/>
    </row>
    <row r="15" customFormat="false" ht="31.5" hidden="false" customHeight="true" outlineLevel="0" collapsed="false">
      <c r="B15" s="8" t="s">
        <v>15</v>
      </c>
      <c r="C15" s="8"/>
      <c r="D15" s="8"/>
    </row>
    <row r="16" customFormat="false" ht="31.5" hidden="false" customHeight="true" outlineLevel="0" collapsed="false">
      <c r="B16" s="8" t="s">
        <v>16</v>
      </c>
      <c r="C16" s="8"/>
      <c r="D16" s="8"/>
    </row>
    <row r="18" customFormat="false" ht="15" hidden="false" customHeight="false" outlineLevel="0" collapsed="false">
      <c r="B18" s="3" t="s">
        <v>17</v>
      </c>
      <c r="C18" s="4"/>
      <c r="D18" s="4"/>
    </row>
    <row r="19" customFormat="false" ht="30" hidden="false" customHeight="true" outlineLevel="0" collapsed="false">
      <c r="B19" s="5" t="s">
        <v>18</v>
      </c>
      <c r="C19" s="9" t="n">
        <v>1700</v>
      </c>
      <c r="D19" s="7" t="s">
        <v>19</v>
      </c>
    </row>
    <row r="20" customFormat="false" ht="30" hidden="false" customHeight="true" outlineLevel="0" collapsed="false">
      <c r="B20" s="5" t="s">
        <v>20</v>
      </c>
      <c r="C20" s="9" t="n">
        <v>1500</v>
      </c>
      <c r="D20" s="7" t="s">
        <v>21</v>
      </c>
    </row>
    <row r="21" customFormat="false" ht="30" hidden="false" customHeight="true" outlineLevel="0" collapsed="false">
      <c r="B21" s="5" t="s">
        <v>22</v>
      </c>
      <c r="C21" s="9" t="n">
        <v>363</v>
      </c>
      <c r="D21" s="7" t="s">
        <v>23</v>
      </c>
    </row>
    <row r="23" customFormat="false" ht="15" hidden="false" customHeight="false" outlineLevel="0" collapsed="false">
      <c r="B23" s="3" t="s">
        <v>24</v>
      </c>
      <c r="C23" s="4"/>
      <c r="D23" s="4"/>
    </row>
    <row r="24" customFormat="false" ht="31.5" hidden="false" customHeight="true" outlineLevel="0" collapsed="false">
      <c r="B24" s="10" t="s">
        <v>25</v>
      </c>
      <c r="C24" s="8" t="s">
        <v>26</v>
      </c>
      <c r="D24" s="8"/>
    </row>
    <row r="25" customFormat="false" ht="31.5" hidden="false" customHeight="true" outlineLevel="0" collapsed="false">
      <c r="B25" s="10" t="s">
        <v>27</v>
      </c>
      <c r="C25" s="8" t="s">
        <v>28</v>
      </c>
      <c r="D25" s="8"/>
    </row>
    <row r="26" customFormat="false" ht="31.5" hidden="false" customHeight="true" outlineLevel="0" collapsed="false">
      <c r="B26" s="10" t="s">
        <v>29</v>
      </c>
      <c r="C26" s="8" t="s">
        <v>30</v>
      </c>
      <c r="D26" s="8"/>
    </row>
    <row r="27" customFormat="false" ht="31.5" hidden="false" customHeight="true" outlineLevel="0" collapsed="false">
      <c r="B27" s="10" t="s">
        <v>31</v>
      </c>
      <c r="C27" s="8" t="s">
        <v>32</v>
      </c>
      <c r="D27" s="8"/>
    </row>
    <row r="28" customFormat="false" ht="31.5" hidden="false" customHeight="true" outlineLevel="0" collapsed="false">
      <c r="B28" s="10" t="s">
        <v>33</v>
      </c>
      <c r="C28" s="8" t="s">
        <v>34</v>
      </c>
      <c r="D28" s="8"/>
    </row>
    <row r="29" customFormat="false" ht="31.5" hidden="false" customHeight="true" outlineLevel="0" collapsed="false">
      <c r="B29" s="10" t="s">
        <v>35</v>
      </c>
      <c r="C29" s="8" t="s">
        <v>36</v>
      </c>
      <c r="D29" s="8"/>
    </row>
    <row r="31" customFormat="false" ht="15" hidden="false" customHeight="false" outlineLevel="0" collapsed="false">
      <c r="B31" s="3" t="s">
        <v>37</v>
      </c>
      <c r="C31" s="4"/>
      <c r="D31" s="4"/>
    </row>
    <row r="32" customFormat="false" ht="30" hidden="false" customHeight="true" outlineLevel="0" collapsed="false">
      <c r="B32" s="8" t="s">
        <v>38</v>
      </c>
      <c r="C32" s="8"/>
      <c r="D32" s="8"/>
    </row>
    <row r="33" customFormat="false" ht="30" hidden="false" customHeight="true" outlineLevel="0" collapsed="false">
      <c r="B33" s="8" t="s">
        <v>39</v>
      </c>
      <c r="C33" s="8"/>
      <c r="D33" s="8"/>
    </row>
    <row r="34" customFormat="false" ht="30" hidden="false" customHeight="true" outlineLevel="0" collapsed="false">
      <c r="B34" s="8" t="s">
        <v>40</v>
      </c>
      <c r="C34" s="8"/>
      <c r="D34" s="8"/>
    </row>
    <row r="35" customFormat="false" ht="30" hidden="false" customHeight="true" outlineLevel="0" collapsed="false">
      <c r="B35" s="8" t="s">
        <v>41</v>
      </c>
      <c r="C35" s="8"/>
      <c r="D35" s="8"/>
    </row>
    <row r="36" customFormat="false" ht="30" hidden="false" customHeight="true" outlineLevel="0" collapsed="false">
      <c r="B36" s="8" t="s">
        <v>42</v>
      </c>
      <c r="C36" s="8"/>
      <c r="D36" s="8"/>
    </row>
    <row r="38" customFormat="false" ht="15" hidden="false" customHeight="false" outlineLevel="0" collapsed="false">
      <c r="B38" s="3" t="s">
        <v>43</v>
      </c>
      <c r="C38" s="4"/>
      <c r="D38" s="4"/>
    </row>
    <row r="39" customFormat="false" ht="30" hidden="false" customHeight="true" outlineLevel="0" collapsed="false">
      <c r="B39" s="8" t="s">
        <v>44</v>
      </c>
      <c r="C39" s="8"/>
      <c r="D39" s="8"/>
    </row>
    <row r="40" customFormat="false" ht="30" hidden="false" customHeight="true" outlineLevel="0" collapsed="false">
      <c r="B40" s="8" t="s">
        <v>45</v>
      </c>
      <c r="C40" s="8"/>
      <c r="D40" s="8"/>
    </row>
    <row r="41" customFormat="false" ht="30" hidden="false" customHeight="true" outlineLevel="0" collapsed="false">
      <c r="B41" s="8" t="s">
        <v>46</v>
      </c>
      <c r="C41" s="8"/>
      <c r="D41" s="8"/>
    </row>
    <row r="42" customFormat="false" ht="30" hidden="false" customHeight="true" outlineLevel="0" collapsed="false">
      <c r="B42" s="8" t="s">
        <v>47</v>
      </c>
      <c r="C42" s="8"/>
      <c r="D42" s="8"/>
    </row>
    <row r="43" customFormat="false" ht="30" hidden="false" customHeight="true" outlineLevel="0" collapsed="false">
      <c r="B43" s="8" t="s">
        <v>48</v>
      </c>
      <c r="C43" s="8"/>
      <c r="D43" s="8"/>
    </row>
    <row r="44" customFormat="false" ht="30" hidden="false" customHeight="true" outlineLevel="0" collapsed="false">
      <c r="B44" s="8" t="s">
        <v>49</v>
      </c>
      <c r="C44" s="8"/>
      <c r="D44" s="8"/>
    </row>
  </sheetData>
  <mergeCells count="22">
    <mergeCell ref="B12:D12"/>
    <mergeCell ref="B13:D13"/>
    <mergeCell ref="B14:D14"/>
    <mergeCell ref="B15:D15"/>
    <mergeCell ref="B16:D16"/>
    <mergeCell ref="C24:D24"/>
    <mergeCell ref="C25:D25"/>
    <mergeCell ref="C26:D26"/>
    <mergeCell ref="C27:D27"/>
    <mergeCell ref="C28:D28"/>
    <mergeCell ref="C29:D29"/>
    <mergeCell ref="B32:D32"/>
    <mergeCell ref="B33:D33"/>
    <mergeCell ref="B34:D34"/>
    <mergeCell ref="B35:D35"/>
    <mergeCell ref="B36:D36"/>
    <mergeCell ref="B39:D39"/>
    <mergeCell ref="B40:D40"/>
    <mergeCell ref="B41:D41"/>
    <mergeCell ref="B42:D42"/>
    <mergeCell ref="B43:D43"/>
    <mergeCell ref="B44:D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6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5" min="5" style="0" width="13"/>
    <col collapsed="false" customWidth="true" hidden="false" outlineLevel="0" max="6" min="6" style="0" width="22"/>
    <col collapsed="false" customWidth="true" hidden="false" outlineLevel="0" max="7" min="7" style="0" width="11"/>
    <col collapsed="false" customWidth="true" hidden="false" outlineLevel="0" max="8" min="8" style="0" width="17"/>
    <col collapsed="false" customWidth="true" hidden="false" outlineLevel="0" max="9" min="9" style="0" width="22"/>
    <col collapsed="false" customWidth="true" hidden="false" outlineLevel="0" max="10" min="10" style="0" width="56"/>
    <col collapsed="false" customWidth="true" hidden="false" outlineLevel="0" max="11" min="11" style="0" width="36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1"/>
    <col collapsed="false" customWidth="true" hidden="false" outlineLevel="0" max="15" min="15" style="0" width="10"/>
    <col collapsed="false" customWidth="true" hidden="false" outlineLevel="0" max="16" min="16" style="0" width="68"/>
    <col collapsed="false" customWidth="true" hidden="false" outlineLevel="0" max="17" min="17" style="0" width="9"/>
  </cols>
  <sheetData>
    <row r="1" customFormat="false" ht="31.5" hidden="false" customHeight="true" outlineLevel="0" collapsed="false">
      <c r="A1" s="11" t="s">
        <v>50</v>
      </c>
      <c r="B1" s="11" t="s">
        <v>51</v>
      </c>
      <c r="C1" s="11" t="s">
        <v>52</v>
      </c>
      <c r="D1" s="11" t="s">
        <v>53</v>
      </c>
      <c r="E1" s="11" t="s">
        <v>54</v>
      </c>
      <c r="F1" s="11" t="s">
        <v>55</v>
      </c>
      <c r="G1" s="11" t="s">
        <v>25</v>
      </c>
      <c r="H1" s="11" t="s">
        <v>33</v>
      </c>
      <c r="I1" s="11" t="s">
        <v>56</v>
      </c>
      <c r="J1" s="11" t="s">
        <v>57</v>
      </c>
      <c r="K1" s="11" t="s">
        <v>58</v>
      </c>
      <c r="L1" s="11" t="s">
        <v>59</v>
      </c>
      <c r="M1" s="11" t="s">
        <v>31</v>
      </c>
      <c r="N1" s="11" t="s">
        <v>27</v>
      </c>
      <c r="O1" s="11" t="s">
        <v>29</v>
      </c>
      <c r="P1" s="11" t="s">
        <v>60</v>
      </c>
      <c r="Q1" s="11" t="s">
        <v>61</v>
      </c>
    </row>
    <row r="2" customFormat="false" ht="15" hidden="false" customHeight="false" outlineLevel="0" collapsed="false">
      <c r="A2" s="12" t="s">
        <v>62</v>
      </c>
      <c r="B2" s="13" t="s">
        <v>63</v>
      </c>
      <c r="C2" s="12" t="n">
        <v>1</v>
      </c>
      <c r="D2" s="12" t="n">
        <f aca="false">IF(Q2="Sí",0,C2*Reglas!$C$5)</f>
        <v>20</v>
      </c>
      <c r="E2" s="14" t="s">
        <v>64</v>
      </c>
      <c r="F2" s="14" t="s">
        <v>65</v>
      </c>
      <c r="G2" s="12" t="s">
        <v>66</v>
      </c>
      <c r="H2" s="14" t="s">
        <v>65</v>
      </c>
      <c r="I2" s="14" t="s">
        <v>67</v>
      </c>
      <c r="J2" s="14" t="s">
        <v>68</v>
      </c>
      <c r="K2" s="14" t="s">
        <v>69</v>
      </c>
      <c r="L2" s="15" t="n">
        <f aca="false">IF(C2=1,0,CHOOSE(C2-1,Reglas!$C$6,Reglas!$C$7,Reglas!$C$8,Reglas!$C$9))</f>
        <v>0</v>
      </c>
      <c r="M2" s="16" t="s">
        <v>70</v>
      </c>
      <c r="N2" s="16" t="n">
        <v>5</v>
      </c>
      <c r="O2" s="16" t="s">
        <v>71</v>
      </c>
      <c r="P2" s="14" t="s">
        <v>72</v>
      </c>
      <c r="Q2" s="15"/>
    </row>
    <row r="3" customFormat="false" ht="15" hidden="false" customHeight="false" outlineLevel="0" collapsed="false">
      <c r="A3" s="12" t="s">
        <v>73</v>
      </c>
      <c r="B3" s="13" t="s">
        <v>74</v>
      </c>
      <c r="C3" s="12" t="n">
        <v>2</v>
      </c>
      <c r="D3" s="12" t="n">
        <f aca="false">IF(Q3="Sí",0,C3*Reglas!$C$5)</f>
        <v>40</v>
      </c>
      <c r="E3" s="14" t="s">
        <v>64</v>
      </c>
      <c r="F3" s="14" t="s">
        <v>65</v>
      </c>
      <c r="G3" s="12" t="s">
        <v>66</v>
      </c>
      <c r="H3" s="14" t="s">
        <v>75</v>
      </c>
      <c r="I3" s="14" t="s">
        <v>76</v>
      </c>
      <c r="J3" s="14" t="s">
        <v>77</v>
      </c>
      <c r="K3" s="14" t="s">
        <v>78</v>
      </c>
      <c r="L3" s="15" t="n">
        <f aca="false">IF(C3=1,0,CHOOSE(C3-1,Reglas!$C$6,Reglas!$C$7,Reglas!$C$8,Reglas!$C$9))</f>
        <v>3</v>
      </c>
      <c r="M3" s="16" t="s">
        <v>70</v>
      </c>
      <c r="N3" s="16" t="n">
        <v>4</v>
      </c>
      <c r="O3" s="16" t="s">
        <v>71</v>
      </c>
      <c r="P3" s="14" t="s">
        <v>79</v>
      </c>
      <c r="Q3" s="15"/>
    </row>
    <row r="4" customFormat="false" ht="15" hidden="false" customHeight="false" outlineLevel="0" collapsed="false">
      <c r="A4" s="12" t="s">
        <v>80</v>
      </c>
      <c r="B4" s="13" t="s">
        <v>81</v>
      </c>
      <c r="C4" s="12" t="n">
        <v>2</v>
      </c>
      <c r="D4" s="12" t="n">
        <f aca="false">IF(Q4="Sí",0,C4*Reglas!$C$5)</f>
        <v>40</v>
      </c>
      <c r="E4" s="14" t="s">
        <v>64</v>
      </c>
      <c r="F4" s="14" t="s">
        <v>65</v>
      </c>
      <c r="G4" s="12" t="s">
        <v>66</v>
      </c>
      <c r="H4" s="14" t="s">
        <v>65</v>
      </c>
      <c r="I4" s="14" t="s">
        <v>67</v>
      </c>
      <c r="J4" s="14" t="s">
        <v>82</v>
      </c>
      <c r="K4" s="14" t="s">
        <v>78</v>
      </c>
      <c r="L4" s="15" t="n">
        <f aca="false">IF(C4=1,0,CHOOSE(C4-1,Reglas!$C$6,Reglas!$C$7,Reglas!$C$8,Reglas!$C$9))</f>
        <v>3</v>
      </c>
      <c r="M4" s="16" t="s">
        <v>70</v>
      </c>
      <c r="N4" s="16" t="n">
        <v>4</v>
      </c>
      <c r="O4" s="16" t="s">
        <v>71</v>
      </c>
      <c r="P4" s="14" t="s">
        <v>83</v>
      </c>
      <c r="Q4" s="15"/>
    </row>
    <row r="5" customFormat="false" ht="15" hidden="false" customHeight="false" outlineLevel="0" collapsed="false">
      <c r="A5" s="12" t="s">
        <v>84</v>
      </c>
      <c r="B5" s="13" t="s">
        <v>85</v>
      </c>
      <c r="C5" s="12" t="n">
        <v>3</v>
      </c>
      <c r="D5" s="12" t="n">
        <f aca="false">IF(Q5="Sí",0,C5*Reglas!$C$5)</f>
        <v>60</v>
      </c>
      <c r="E5" s="14" t="s">
        <v>64</v>
      </c>
      <c r="F5" s="14" t="s">
        <v>65</v>
      </c>
      <c r="G5" s="12" t="s">
        <v>66</v>
      </c>
      <c r="H5" s="14" t="s">
        <v>65</v>
      </c>
      <c r="I5" s="14" t="s">
        <v>67</v>
      </c>
      <c r="J5" s="14" t="s">
        <v>86</v>
      </c>
      <c r="K5" s="14" t="s">
        <v>87</v>
      </c>
      <c r="L5" s="15" t="n">
        <f aca="false">IF(C5=1,0,CHOOSE(C5-1,Reglas!$C$6,Reglas!$C$7,Reglas!$C$8,Reglas!$C$9))</f>
        <v>5</v>
      </c>
      <c r="M5" s="16" t="s">
        <v>70</v>
      </c>
      <c r="N5" s="16" t="n">
        <v>4</v>
      </c>
      <c r="O5" s="16" t="s">
        <v>71</v>
      </c>
      <c r="P5" s="14" t="s">
        <v>88</v>
      </c>
      <c r="Q5" s="15"/>
    </row>
    <row r="6" customFormat="false" ht="15" hidden="false" customHeight="false" outlineLevel="0" collapsed="false">
      <c r="A6" s="12" t="s">
        <v>89</v>
      </c>
      <c r="B6" s="13" t="s">
        <v>90</v>
      </c>
      <c r="C6" s="12" t="n">
        <v>4</v>
      </c>
      <c r="D6" s="12" t="n">
        <f aca="false">IF(Q6="Sí",0,C6*Reglas!$C$5)</f>
        <v>80</v>
      </c>
      <c r="E6" s="14" t="s">
        <v>64</v>
      </c>
      <c r="F6" s="14" t="s">
        <v>65</v>
      </c>
      <c r="G6" s="12" t="s">
        <v>66</v>
      </c>
      <c r="H6" s="14" t="s">
        <v>75</v>
      </c>
      <c r="I6" s="14" t="s">
        <v>76</v>
      </c>
      <c r="J6" s="14" t="s">
        <v>91</v>
      </c>
      <c r="K6" s="14" t="s">
        <v>92</v>
      </c>
      <c r="L6" s="15" t="n">
        <f aca="false">IF(C6=1,0,CHOOSE(C6-1,Reglas!$C$6,Reglas!$C$7,Reglas!$C$8,Reglas!$C$9))</f>
        <v>6</v>
      </c>
      <c r="M6" s="16" t="s">
        <v>70</v>
      </c>
      <c r="N6" s="16" t="n">
        <v>4</v>
      </c>
      <c r="O6" s="16" t="s">
        <v>71</v>
      </c>
      <c r="P6" s="14" t="s">
        <v>93</v>
      </c>
      <c r="Q6" s="15"/>
    </row>
    <row r="7" customFormat="false" ht="15" hidden="false" customHeight="false" outlineLevel="0" collapsed="false">
      <c r="A7" s="12" t="s">
        <v>94</v>
      </c>
      <c r="B7" s="13" t="s">
        <v>95</v>
      </c>
      <c r="C7" s="12" t="n">
        <v>5</v>
      </c>
      <c r="D7" s="12" t="n">
        <f aca="false">IF(Q7="Sí",0,C7*Reglas!$C$5)</f>
        <v>100</v>
      </c>
      <c r="E7" s="14" t="s">
        <v>64</v>
      </c>
      <c r="F7" s="14" t="s">
        <v>65</v>
      </c>
      <c r="G7" s="12" t="s">
        <v>66</v>
      </c>
      <c r="H7" s="14" t="s">
        <v>65</v>
      </c>
      <c r="I7" s="14" t="s">
        <v>67</v>
      </c>
      <c r="J7" s="14" t="s">
        <v>96</v>
      </c>
      <c r="K7" s="14" t="s">
        <v>97</v>
      </c>
      <c r="L7" s="15" t="n">
        <f aca="false">IF(C7=1,0,CHOOSE(C7-1,Reglas!$C$6,Reglas!$C$7,Reglas!$C$8,Reglas!$C$9))</f>
        <v>6</v>
      </c>
      <c r="M7" s="16" t="s">
        <v>70</v>
      </c>
      <c r="N7" s="16" t="n">
        <v>3</v>
      </c>
      <c r="O7" s="16" t="s">
        <v>71</v>
      </c>
      <c r="P7" s="14" t="s">
        <v>98</v>
      </c>
      <c r="Q7" s="15"/>
    </row>
    <row r="8" customFormat="false" ht="15" hidden="false" customHeight="false" outlineLevel="0" collapsed="false">
      <c r="A8" s="15" t="s">
        <v>99</v>
      </c>
      <c r="B8" s="17" t="s">
        <v>100</v>
      </c>
      <c r="C8" s="15" t="n">
        <v>1</v>
      </c>
      <c r="D8" s="15" t="n">
        <f aca="false">IF(Q8="Sí",0,C8*Reglas!$C$5)</f>
        <v>0</v>
      </c>
      <c r="E8" s="14" t="s">
        <v>101</v>
      </c>
      <c r="F8" s="14" t="s">
        <v>65</v>
      </c>
      <c r="G8" s="15" t="s">
        <v>102</v>
      </c>
      <c r="H8" s="14" t="s">
        <v>103</v>
      </c>
      <c r="I8" s="14" t="s">
        <v>104</v>
      </c>
      <c r="J8" s="14" t="s">
        <v>105</v>
      </c>
      <c r="K8" s="14" t="s">
        <v>69</v>
      </c>
      <c r="L8" s="15" t="n">
        <f aca="false">IF(C8=1,0,CHOOSE(C8-1,Reglas!$C$6,Reglas!$C$7,Reglas!$C$8,Reglas!$C$9))</f>
        <v>0</v>
      </c>
      <c r="M8" s="16" t="s">
        <v>106</v>
      </c>
      <c r="N8" s="16" t="n">
        <v>5</v>
      </c>
      <c r="O8" s="16" t="s">
        <v>71</v>
      </c>
      <c r="P8" s="14" t="s">
        <v>107</v>
      </c>
      <c r="Q8" s="15" t="s">
        <v>108</v>
      </c>
    </row>
    <row r="9" customFormat="false" ht="15" hidden="false" customHeight="false" outlineLevel="0" collapsed="false">
      <c r="A9" s="15" t="s">
        <v>109</v>
      </c>
      <c r="B9" s="17" t="s">
        <v>110</v>
      </c>
      <c r="C9" s="15" t="n">
        <v>2</v>
      </c>
      <c r="D9" s="15" t="n">
        <f aca="false">IF(Q9="Sí",0,C9*Reglas!$C$5)</f>
        <v>40</v>
      </c>
      <c r="E9" s="14" t="s">
        <v>101</v>
      </c>
      <c r="F9" s="14" t="s">
        <v>65</v>
      </c>
      <c r="G9" s="15" t="s">
        <v>102</v>
      </c>
      <c r="H9" s="14" t="s">
        <v>103</v>
      </c>
      <c r="I9" s="14" t="s">
        <v>111</v>
      </c>
      <c r="J9" s="14" t="s">
        <v>112</v>
      </c>
      <c r="K9" s="14" t="s">
        <v>113</v>
      </c>
      <c r="L9" s="15" t="n">
        <f aca="false">IF(C9=1,0,CHOOSE(C9-1,Reglas!$C$6,Reglas!$C$7,Reglas!$C$8,Reglas!$C$9))</f>
        <v>3</v>
      </c>
      <c r="M9" s="16" t="s">
        <v>70</v>
      </c>
      <c r="N9" s="16" t="n">
        <v>4</v>
      </c>
      <c r="O9" s="16" t="s">
        <v>71</v>
      </c>
      <c r="P9" s="14" t="s">
        <v>114</v>
      </c>
      <c r="Q9" s="15"/>
    </row>
    <row r="10" customFormat="false" ht="15" hidden="false" customHeight="false" outlineLevel="0" collapsed="false">
      <c r="A10" s="15" t="s">
        <v>115</v>
      </c>
      <c r="B10" s="17" t="s">
        <v>116</v>
      </c>
      <c r="C10" s="15" t="n">
        <v>2</v>
      </c>
      <c r="D10" s="15" t="n">
        <f aca="false">IF(Q10="Sí",0,C10*Reglas!$C$5)</f>
        <v>40</v>
      </c>
      <c r="E10" s="14" t="s">
        <v>64</v>
      </c>
      <c r="F10" s="14" t="s">
        <v>65</v>
      </c>
      <c r="G10" s="15" t="s">
        <v>102</v>
      </c>
      <c r="H10" s="14" t="s">
        <v>65</v>
      </c>
      <c r="I10" s="14" t="s">
        <v>67</v>
      </c>
      <c r="J10" s="14" t="s">
        <v>117</v>
      </c>
      <c r="K10" s="14" t="s">
        <v>78</v>
      </c>
      <c r="L10" s="15" t="n">
        <f aca="false">IF(C10=1,0,CHOOSE(C10-1,Reglas!$C$6,Reglas!$C$7,Reglas!$C$8,Reglas!$C$9))</f>
        <v>3</v>
      </c>
      <c r="M10" s="16" t="s">
        <v>70</v>
      </c>
      <c r="N10" s="16" t="n">
        <v>3</v>
      </c>
      <c r="O10" s="16" t="s">
        <v>71</v>
      </c>
      <c r="P10" s="14" t="s">
        <v>118</v>
      </c>
      <c r="Q10" s="15"/>
    </row>
    <row r="11" customFormat="false" ht="23.85" hidden="false" customHeight="false" outlineLevel="0" collapsed="false">
      <c r="A11" s="15" t="s">
        <v>119</v>
      </c>
      <c r="B11" s="17" t="s">
        <v>120</v>
      </c>
      <c r="C11" s="15" t="n">
        <v>2</v>
      </c>
      <c r="D11" s="15" t="n">
        <f aca="false">IF(Q11="Sí",0,C11*Reglas!$C$5)</f>
        <v>40</v>
      </c>
      <c r="E11" s="14" t="s">
        <v>64</v>
      </c>
      <c r="F11" s="14" t="s">
        <v>65</v>
      </c>
      <c r="G11" s="15" t="s">
        <v>102</v>
      </c>
      <c r="H11" s="14" t="s">
        <v>121</v>
      </c>
      <c r="I11" s="14" t="s">
        <v>122</v>
      </c>
      <c r="J11" s="14" t="s">
        <v>123</v>
      </c>
      <c r="K11" s="14" t="s">
        <v>78</v>
      </c>
      <c r="L11" s="15" t="n">
        <f aca="false">IF(C11=1,0,CHOOSE(C11-1,Reglas!$C$6,Reglas!$C$7,Reglas!$C$8,Reglas!$C$9))</f>
        <v>3</v>
      </c>
      <c r="M11" s="16" t="s">
        <v>70</v>
      </c>
      <c r="N11" s="16" t="n">
        <v>3</v>
      </c>
      <c r="O11" s="16" t="s">
        <v>124</v>
      </c>
      <c r="P11" s="14" t="s">
        <v>125</v>
      </c>
      <c r="Q11" s="15"/>
    </row>
    <row r="12" customFormat="false" ht="23.85" hidden="false" customHeight="false" outlineLevel="0" collapsed="false">
      <c r="A12" s="15" t="s">
        <v>126</v>
      </c>
      <c r="B12" s="17" t="s">
        <v>127</v>
      </c>
      <c r="C12" s="15" t="n">
        <v>3</v>
      </c>
      <c r="D12" s="15" t="n">
        <f aca="false">IF(Q12="Sí",0,C12*Reglas!$C$5)</f>
        <v>60</v>
      </c>
      <c r="E12" s="14" t="s">
        <v>101</v>
      </c>
      <c r="F12" s="14" t="s">
        <v>65</v>
      </c>
      <c r="G12" s="15" t="s">
        <v>102</v>
      </c>
      <c r="H12" s="14" t="s">
        <v>103</v>
      </c>
      <c r="I12" s="14" t="s">
        <v>128</v>
      </c>
      <c r="J12" s="14" t="s">
        <v>129</v>
      </c>
      <c r="K12" s="14" t="s">
        <v>130</v>
      </c>
      <c r="L12" s="15" t="n">
        <f aca="false">IF(C12=1,0,CHOOSE(C12-1,Reglas!$C$6,Reglas!$C$7,Reglas!$C$8,Reglas!$C$9))</f>
        <v>5</v>
      </c>
      <c r="M12" s="16" t="s">
        <v>70</v>
      </c>
      <c r="N12" s="16" t="n">
        <v>3</v>
      </c>
      <c r="O12" s="16" t="s">
        <v>71</v>
      </c>
      <c r="P12" s="14" t="s">
        <v>131</v>
      </c>
      <c r="Q12" s="15"/>
    </row>
    <row r="13" customFormat="false" ht="15" hidden="false" customHeight="false" outlineLevel="0" collapsed="false">
      <c r="A13" s="15" t="s">
        <v>132</v>
      </c>
      <c r="B13" s="17" t="s">
        <v>133</v>
      </c>
      <c r="C13" s="15" t="n">
        <v>3</v>
      </c>
      <c r="D13" s="15" t="n">
        <f aca="false">IF(Q13="Sí",0,C13*Reglas!$C$5)</f>
        <v>60</v>
      </c>
      <c r="E13" s="14" t="s">
        <v>64</v>
      </c>
      <c r="F13" s="14" t="s">
        <v>65</v>
      </c>
      <c r="G13" s="15" t="s">
        <v>102</v>
      </c>
      <c r="H13" s="14" t="s">
        <v>65</v>
      </c>
      <c r="I13" s="14" t="s">
        <v>67</v>
      </c>
      <c r="J13" s="14" t="s">
        <v>134</v>
      </c>
      <c r="K13" s="14" t="s">
        <v>135</v>
      </c>
      <c r="L13" s="15" t="n">
        <f aca="false">IF(C13=1,0,CHOOSE(C13-1,Reglas!$C$6,Reglas!$C$7,Reglas!$C$8,Reglas!$C$9))</f>
        <v>5</v>
      </c>
      <c r="M13" s="16" t="s">
        <v>70</v>
      </c>
      <c r="N13" s="16" t="n">
        <v>3</v>
      </c>
      <c r="O13" s="16" t="s">
        <v>124</v>
      </c>
      <c r="P13" s="14" t="s">
        <v>136</v>
      </c>
      <c r="Q13" s="15"/>
    </row>
    <row r="14" customFormat="false" ht="23.85" hidden="false" customHeight="false" outlineLevel="0" collapsed="false">
      <c r="A14" s="15" t="s">
        <v>137</v>
      </c>
      <c r="B14" s="17" t="s">
        <v>138</v>
      </c>
      <c r="C14" s="15" t="n">
        <v>3</v>
      </c>
      <c r="D14" s="15" t="n">
        <f aca="false">IF(Q14="Sí",0,C14*Reglas!$C$5)</f>
        <v>60</v>
      </c>
      <c r="E14" s="14" t="s">
        <v>64</v>
      </c>
      <c r="F14" s="14" t="s">
        <v>65</v>
      </c>
      <c r="G14" s="15" t="s">
        <v>102</v>
      </c>
      <c r="H14" s="14" t="s">
        <v>65</v>
      </c>
      <c r="I14" s="14" t="s">
        <v>67</v>
      </c>
      <c r="J14" s="14" t="s">
        <v>139</v>
      </c>
      <c r="K14" s="14" t="s">
        <v>78</v>
      </c>
      <c r="L14" s="15" t="n">
        <f aca="false">IF(C14=1,0,CHOOSE(C14-1,Reglas!$C$6,Reglas!$C$7,Reglas!$C$8,Reglas!$C$9))</f>
        <v>5</v>
      </c>
      <c r="M14" s="16" t="s">
        <v>70</v>
      </c>
      <c r="N14" s="16" t="n">
        <v>3</v>
      </c>
      <c r="O14" s="16" t="s">
        <v>71</v>
      </c>
      <c r="P14" s="14" t="s">
        <v>140</v>
      </c>
      <c r="Q14" s="15"/>
    </row>
    <row r="15" customFormat="false" ht="23.85" hidden="false" customHeight="false" outlineLevel="0" collapsed="false">
      <c r="A15" s="15" t="s">
        <v>141</v>
      </c>
      <c r="B15" s="17" t="s">
        <v>142</v>
      </c>
      <c r="C15" s="15" t="n">
        <v>4</v>
      </c>
      <c r="D15" s="15" t="n">
        <f aca="false">IF(Q15="Sí",0,C15*Reglas!$C$5)</f>
        <v>80</v>
      </c>
      <c r="E15" s="14" t="s">
        <v>101</v>
      </c>
      <c r="F15" s="14" t="s">
        <v>65</v>
      </c>
      <c r="G15" s="15" t="s">
        <v>102</v>
      </c>
      <c r="H15" s="14" t="s">
        <v>103</v>
      </c>
      <c r="I15" s="14" t="s">
        <v>111</v>
      </c>
      <c r="J15" s="14" t="s">
        <v>143</v>
      </c>
      <c r="K15" s="14" t="s">
        <v>144</v>
      </c>
      <c r="L15" s="15" t="n">
        <f aca="false">IF(C15=1,0,CHOOSE(C15-1,Reglas!$C$6,Reglas!$C$7,Reglas!$C$8,Reglas!$C$9))</f>
        <v>6</v>
      </c>
      <c r="M15" s="16" t="s">
        <v>70</v>
      </c>
      <c r="N15" s="16" t="n">
        <v>4</v>
      </c>
      <c r="O15" s="16" t="s">
        <v>124</v>
      </c>
      <c r="P15" s="14" t="s">
        <v>145</v>
      </c>
      <c r="Q15" s="15"/>
    </row>
    <row r="16" customFormat="false" ht="15" hidden="false" customHeight="false" outlineLevel="0" collapsed="false">
      <c r="A16" s="15" t="s">
        <v>146</v>
      </c>
      <c r="B16" s="17" t="s">
        <v>147</v>
      </c>
      <c r="C16" s="15" t="n">
        <v>4</v>
      </c>
      <c r="D16" s="15" t="n">
        <f aca="false">IF(Q16="Sí",0,C16*Reglas!$C$5)</f>
        <v>80</v>
      </c>
      <c r="E16" s="14" t="s">
        <v>64</v>
      </c>
      <c r="F16" s="14" t="s">
        <v>65</v>
      </c>
      <c r="G16" s="15" t="s">
        <v>102</v>
      </c>
      <c r="H16" s="14" t="s">
        <v>65</v>
      </c>
      <c r="I16" s="14" t="s">
        <v>67</v>
      </c>
      <c r="J16" s="14" t="s">
        <v>148</v>
      </c>
      <c r="K16" s="14" t="s">
        <v>149</v>
      </c>
      <c r="L16" s="15" t="n">
        <f aca="false">IF(C16=1,0,CHOOSE(C16-1,Reglas!$C$6,Reglas!$C$7,Reglas!$C$8,Reglas!$C$9))</f>
        <v>6</v>
      </c>
      <c r="M16" s="16" t="s">
        <v>70</v>
      </c>
      <c r="N16" s="16" t="n">
        <v>4</v>
      </c>
      <c r="O16" s="16" t="s">
        <v>71</v>
      </c>
      <c r="P16" s="14" t="s">
        <v>150</v>
      </c>
      <c r="Q16" s="15"/>
    </row>
    <row r="17" customFormat="false" ht="23.85" hidden="false" customHeight="false" outlineLevel="0" collapsed="false">
      <c r="A17" s="15" t="s">
        <v>151</v>
      </c>
      <c r="B17" s="17" t="s">
        <v>152</v>
      </c>
      <c r="C17" s="15" t="n">
        <v>5</v>
      </c>
      <c r="D17" s="15" t="n">
        <f aca="false">IF(Q17="Sí",0,C17*Reglas!$C$5)</f>
        <v>100</v>
      </c>
      <c r="E17" s="14" t="s">
        <v>101</v>
      </c>
      <c r="F17" s="14" t="s">
        <v>65</v>
      </c>
      <c r="G17" s="15" t="s">
        <v>102</v>
      </c>
      <c r="H17" s="14" t="s">
        <v>103</v>
      </c>
      <c r="I17" s="14" t="s">
        <v>111</v>
      </c>
      <c r="J17" s="14" t="s">
        <v>153</v>
      </c>
      <c r="K17" s="14" t="s">
        <v>154</v>
      </c>
      <c r="L17" s="15" t="n">
        <f aca="false">IF(C17=1,0,CHOOSE(C17-1,Reglas!$C$6,Reglas!$C$7,Reglas!$C$8,Reglas!$C$9))</f>
        <v>6</v>
      </c>
      <c r="M17" s="16" t="s">
        <v>70</v>
      </c>
      <c r="N17" s="16" t="n">
        <v>3</v>
      </c>
      <c r="O17" s="16" t="s">
        <v>155</v>
      </c>
      <c r="P17" s="14" t="s">
        <v>156</v>
      </c>
      <c r="Q17" s="15"/>
    </row>
    <row r="18" customFormat="false" ht="23.85" hidden="false" customHeight="false" outlineLevel="0" collapsed="false">
      <c r="A18" s="15" t="s">
        <v>157</v>
      </c>
      <c r="B18" s="17" t="s">
        <v>158</v>
      </c>
      <c r="C18" s="15" t="n">
        <v>5</v>
      </c>
      <c r="D18" s="15" t="n">
        <f aca="false">IF(Q18="Sí",0,C18*Reglas!$C$5)</f>
        <v>100</v>
      </c>
      <c r="E18" s="14" t="s">
        <v>64</v>
      </c>
      <c r="F18" s="14" t="s">
        <v>65</v>
      </c>
      <c r="G18" s="15" t="s">
        <v>102</v>
      </c>
      <c r="H18" s="14" t="s">
        <v>65</v>
      </c>
      <c r="I18" s="14" t="s">
        <v>67</v>
      </c>
      <c r="J18" s="14" t="s">
        <v>159</v>
      </c>
      <c r="K18" s="14" t="s">
        <v>160</v>
      </c>
      <c r="L18" s="15" t="n">
        <f aca="false">IF(C18=1,0,CHOOSE(C18-1,Reglas!$C$6,Reglas!$C$7,Reglas!$C$8,Reglas!$C$9))</f>
        <v>6</v>
      </c>
      <c r="M18" s="16" t="s">
        <v>70</v>
      </c>
      <c r="N18" s="16" t="n">
        <v>3</v>
      </c>
      <c r="O18" s="16" t="s">
        <v>124</v>
      </c>
      <c r="P18" s="14" t="s">
        <v>161</v>
      </c>
      <c r="Q18" s="15"/>
    </row>
    <row r="19" customFormat="false" ht="15" hidden="false" customHeight="false" outlineLevel="0" collapsed="false">
      <c r="A19" s="12" t="s">
        <v>162</v>
      </c>
      <c r="B19" s="13" t="s">
        <v>163</v>
      </c>
      <c r="C19" s="12" t="n">
        <v>1</v>
      </c>
      <c r="D19" s="12" t="n">
        <f aca="false">IF(Q19="Sí",0,C19*Reglas!$C$5)</f>
        <v>20</v>
      </c>
      <c r="E19" s="14" t="s">
        <v>64</v>
      </c>
      <c r="F19" s="14" t="s">
        <v>164</v>
      </c>
      <c r="G19" s="12" t="s">
        <v>66</v>
      </c>
      <c r="H19" s="14" t="s">
        <v>164</v>
      </c>
      <c r="I19" s="14" t="s">
        <v>164</v>
      </c>
      <c r="J19" s="14" t="s">
        <v>165</v>
      </c>
      <c r="K19" s="14" t="s">
        <v>69</v>
      </c>
      <c r="L19" s="15" t="n">
        <f aca="false">IF(C19=1,0,CHOOSE(C19-1,Reglas!$C$6,Reglas!$C$7,Reglas!$C$8,Reglas!$C$9))</f>
        <v>0</v>
      </c>
      <c r="M19" s="16" t="s">
        <v>70</v>
      </c>
      <c r="N19" s="16" t="n">
        <v>5</v>
      </c>
      <c r="O19" s="16" t="s">
        <v>71</v>
      </c>
      <c r="P19" s="14" t="s">
        <v>166</v>
      </c>
      <c r="Q19" s="15"/>
    </row>
    <row r="20" customFormat="false" ht="23.85" hidden="false" customHeight="false" outlineLevel="0" collapsed="false">
      <c r="A20" s="12" t="s">
        <v>167</v>
      </c>
      <c r="B20" s="13" t="s">
        <v>168</v>
      </c>
      <c r="C20" s="12" t="n">
        <v>2</v>
      </c>
      <c r="D20" s="12" t="n">
        <f aca="false">IF(Q20="Sí",0,C20*Reglas!$C$5)</f>
        <v>40</v>
      </c>
      <c r="E20" s="14" t="s">
        <v>64</v>
      </c>
      <c r="F20" s="14" t="s">
        <v>164</v>
      </c>
      <c r="G20" s="12" t="s">
        <v>66</v>
      </c>
      <c r="H20" s="14" t="s">
        <v>75</v>
      </c>
      <c r="I20" s="14" t="s">
        <v>76</v>
      </c>
      <c r="J20" s="14" t="s">
        <v>169</v>
      </c>
      <c r="K20" s="14" t="s">
        <v>170</v>
      </c>
      <c r="L20" s="15" t="n">
        <f aca="false">IF(C20=1,0,CHOOSE(C20-1,Reglas!$C$6,Reglas!$C$7,Reglas!$C$8,Reglas!$C$9))</f>
        <v>3</v>
      </c>
      <c r="M20" s="16" t="s">
        <v>70</v>
      </c>
      <c r="N20" s="16" t="n">
        <v>4</v>
      </c>
      <c r="O20" s="16" t="s">
        <v>71</v>
      </c>
      <c r="P20" s="14" t="s">
        <v>171</v>
      </c>
      <c r="Q20" s="15"/>
    </row>
    <row r="21" customFormat="false" ht="15" hidden="false" customHeight="false" outlineLevel="0" collapsed="false">
      <c r="A21" s="12" t="s">
        <v>172</v>
      </c>
      <c r="B21" s="13" t="s">
        <v>173</v>
      </c>
      <c r="C21" s="12" t="n">
        <v>2</v>
      </c>
      <c r="D21" s="12" t="n">
        <f aca="false">IF(Q21="Sí",0,C21*Reglas!$C$5)</f>
        <v>40</v>
      </c>
      <c r="E21" s="14" t="s">
        <v>64</v>
      </c>
      <c r="F21" s="14" t="s">
        <v>164</v>
      </c>
      <c r="G21" s="12" t="s">
        <v>66</v>
      </c>
      <c r="H21" s="14" t="s">
        <v>164</v>
      </c>
      <c r="I21" s="14" t="s">
        <v>164</v>
      </c>
      <c r="J21" s="14" t="s">
        <v>174</v>
      </c>
      <c r="K21" s="14" t="s">
        <v>170</v>
      </c>
      <c r="L21" s="15" t="n">
        <f aca="false">IF(C21=1,0,CHOOSE(C21-1,Reglas!$C$6,Reglas!$C$7,Reglas!$C$8,Reglas!$C$9))</f>
        <v>3</v>
      </c>
      <c r="M21" s="16" t="s">
        <v>70</v>
      </c>
      <c r="N21" s="16" t="n">
        <v>4</v>
      </c>
      <c r="O21" s="16" t="s">
        <v>71</v>
      </c>
      <c r="P21" s="14" t="s">
        <v>175</v>
      </c>
      <c r="Q21" s="15"/>
    </row>
    <row r="22" customFormat="false" ht="15" hidden="false" customHeight="false" outlineLevel="0" collapsed="false">
      <c r="A22" s="12" t="s">
        <v>176</v>
      </c>
      <c r="B22" s="13" t="s">
        <v>177</v>
      </c>
      <c r="C22" s="12" t="n">
        <v>3</v>
      </c>
      <c r="D22" s="12" t="n">
        <f aca="false">IF(Q22="Sí",0,C22*Reglas!$C$5)</f>
        <v>60</v>
      </c>
      <c r="E22" s="14" t="s">
        <v>64</v>
      </c>
      <c r="F22" s="14" t="s">
        <v>164</v>
      </c>
      <c r="G22" s="12" t="s">
        <v>66</v>
      </c>
      <c r="H22" s="14" t="s">
        <v>164</v>
      </c>
      <c r="I22" s="14" t="s">
        <v>164</v>
      </c>
      <c r="J22" s="14" t="s">
        <v>178</v>
      </c>
      <c r="K22" s="14" t="s">
        <v>179</v>
      </c>
      <c r="L22" s="15" t="n">
        <f aca="false">IF(C22=1,0,CHOOSE(C22-1,Reglas!$C$6,Reglas!$C$7,Reglas!$C$8,Reglas!$C$9))</f>
        <v>5</v>
      </c>
      <c r="M22" s="16" t="s">
        <v>70</v>
      </c>
      <c r="N22" s="16" t="n">
        <v>3</v>
      </c>
      <c r="O22" s="16" t="s">
        <v>124</v>
      </c>
      <c r="P22" s="14" t="s">
        <v>180</v>
      </c>
      <c r="Q22" s="15"/>
    </row>
    <row r="23" customFormat="false" ht="23.85" hidden="false" customHeight="false" outlineLevel="0" collapsed="false">
      <c r="A23" s="12" t="s">
        <v>181</v>
      </c>
      <c r="B23" s="13" t="s">
        <v>182</v>
      </c>
      <c r="C23" s="12" t="n">
        <v>4</v>
      </c>
      <c r="D23" s="12" t="n">
        <f aca="false">IF(Q23="Sí",0,C23*Reglas!$C$5)</f>
        <v>80</v>
      </c>
      <c r="E23" s="14" t="s">
        <v>64</v>
      </c>
      <c r="F23" s="14" t="s">
        <v>164</v>
      </c>
      <c r="G23" s="12" t="s">
        <v>66</v>
      </c>
      <c r="H23" s="14" t="s">
        <v>75</v>
      </c>
      <c r="I23" s="14" t="s">
        <v>76</v>
      </c>
      <c r="J23" s="14" t="s">
        <v>183</v>
      </c>
      <c r="K23" s="14" t="s">
        <v>184</v>
      </c>
      <c r="L23" s="15" t="n">
        <f aca="false">IF(C23=1,0,CHOOSE(C23-1,Reglas!$C$6,Reglas!$C$7,Reglas!$C$8,Reglas!$C$9))</f>
        <v>6</v>
      </c>
      <c r="M23" s="16" t="s">
        <v>70</v>
      </c>
      <c r="N23" s="16" t="n">
        <v>4</v>
      </c>
      <c r="O23" s="16" t="s">
        <v>71</v>
      </c>
      <c r="P23" s="14" t="s">
        <v>185</v>
      </c>
      <c r="Q23" s="15"/>
    </row>
    <row r="24" customFormat="false" ht="15" hidden="false" customHeight="false" outlineLevel="0" collapsed="false">
      <c r="A24" s="12" t="s">
        <v>186</v>
      </c>
      <c r="B24" s="13" t="s">
        <v>187</v>
      </c>
      <c r="C24" s="12" t="n">
        <v>5</v>
      </c>
      <c r="D24" s="12" t="n">
        <f aca="false">IF(Q24="Sí",0,C24*Reglas!$C$5)</f>
        <v>100</v>
      </c>
      <c r="E24" s="14" t="s">
        <v>64</v>
      </c>
      <c r="F24" s="14" t="s">
        <v>164</v>
      </c>
      <c r="G24" s="12" t="s">
        <v>66</v>
      </c>
      <c r="H24" s="14" t="s">
        <v>164</v>
      </c>
      <c r="I24" s="14" t="s">
        <v>164</v>
      </c>
      <c r="J24" s="14" t="s">
        <v>188</v>
      </c>
      <c r="K24" s="14" t="s">
        <v>189</v>
      </c>
      <c r="L24" s="15" t="n">
        <f aca="false">IF(C24=1,0,CHOOSE(C24-1,Reglas!$C$6,Reglas!$C$7,Reglas!$C$8,Reglas!$C$9))</f>
        <v>6</v>
      </c>
      <c r="M24" s="16" t="s">
        <v>70</v>
      </c>
      <c r="N24" s="16" t="n">
        <v>3</v>
      </c>
      <c r="O24" s="16" t="s">
        <v>124</v>
      </c>
      <c r="P24" s="14" t="s">
        <v>190</v>
      </c>
      <c r="Q24" s="15"/>
    </row>
    <row r="25" customFormat="false" ht="15" hidden="false" customHeight="false" outlineLevel="0" collapsed="false">
      <c r="A25" s="15" t="s">
        <v>191</v>
      </c>
      <c r="B25" s="17" t="s">
        <v>192</v>
      </c>
      <c r="C25" s="15" t="n">
        <v>1</v>
      </c>
      <c r="D25" s="15" t="n">
        <f aca="false">IF(Q25="Sí",0,C25*Reglas!$C$5)</f>
        <v>0</v>
      </c>
      <c r="E25" s="14" t="s">
        <v>101</v>
      </c>
      <c r="F25" s="14" t="s">
        <v>164</v>
      </c>
      <c r="G25" s="15" t="s">
        <v>102</v>
      </c>
      <c r="H25" s="14" t="s">
        <v>193</v>
      </c>
      <c r="I25" s="14" t="s">
        <v>104</v>
      </c>
      <c r="J25" s="14" t="s">
        <v>194</v>
      </c>
      <c r="K25" s="14" t="s">
        <v>69</v>
      </c>
      <c r="L25" s="15" t="n">
        <f aca="false">IF(C25=1,0,CHOOSE(C25-1,Reglas!$C$6,Reglas!$C$7,Reglas!$C$8,Reglas!$C$9))</f>
        <v>0</v>
      </c>
      <c r="M25" s="16" t="s">
        <v>106</v>
      </c>
      <c r="N25" s="16" t="n">
        <v>5</v>
      </c>
      <c r="O25" s="16" t="s">
        <v>71</v>
      </c>
      <c r="P25" s="14" t="s">
        <v>195</v>
      </c>
      <c r="Q25" s="15" t="s">
        <v>108</v>
      </c>
    </row>
    <row r="26" customFormat="false" ht="15" hidden="false" customHeight="false" outlineLevel="0" collapsed="false">
      <c r="A26" s="15" t="s">
        <v>196</v>
      </c>
      <c r="B26" s="17" t="s">
        <v>197</v>
      </c>
      <c r="C26" s="15" t="n">
        <v>2</v>
      </c>
      <c r="D26" s="15" t="n">
        <f aca="false">IF(Q26="Sí",0,C26*Reglas!$C$5)</f>
        <v>40</v>
      </c>
      <c r="E26" s="14" t="s">
        <v>101</v>
      </c>
      <c r="F26" s="14" t="s">
        <v>164</v>
      </c>
      <c r="G26" s="15" t="s">
        <v>102</v>
      </c>
      <c r="H26" s="14" t="s">
        <v>193</v>
      </c>
      <c r="I26" s="14" t="s">
        <v>111</v>
      </c>
      <c r="J26" s="14" t="s">
        <v>198</v>
      </c>
      <c r="K26" s="14" t="s">
        <v>199</v>
      </c>
      <c r="L26" s="15" t="n">
        <f aca="false">IF(C26=1,0,CHOOSE(C26-1,Reglas!$C$6,Reglas!$C$7,Reglas!$C$8,Reglas!$C$9))</f>
        <v>3</v>
      </c>
      <c r="M26" s="16" t="s">
        <v>70</v>
      </c>
      <c r="N26" s="16" t="n">
        <v>4</v>
      </c>
      <c r="O26" s="16" t="s">
        <v>71</v>
      </c>
      <c r="P26" s="14" t="s">
        <v>200</v>
      </c>
      <c r="Q26" s="15"/>
    </row>
    <row r="27" customFormat="false" ht="15" hidden="false" customHeight="false" outlineLevel="0" collapsed="false">
      <c r="A27" s="15" t="s">
        <v>201</v>
      </c>
      <c r="B27" s="17" t="s">
        <v>202</v>
      </c>
      <c r="C27" s="15" t="n">
        <v>2</v>
      </c>
      <c r="D27" s="15" t="n">
        <f aca="false">IF(Q27="Sí",0,C27*Reglas!$C$5)</f>
        <v>40</v>
      </c>
      <c r="E27" s="14" t="s">
        <v>64</v>
      </c>
      <c r="F27" s="14" t="s">
        <v>164</v>
      </c>
      <c r="G27" s="15" t="s">
        <v>102</v>
      </c>
      <c r="H27" s="14" t="s">
        <v>164</v>
      </c>
      <c r="I27" s="14" t="s">
        <v>164</v>
      </c>
      <c r="J27" s="14" t="s">
        <v>203</v>
      </c>
      <c r="K27" s="14" t="s">
        <v>204</v>
      </c>
      <c r="L27" s="15" t="n">
        <f aca="false">IF(C27=1,0,CHOOSE(C27-1,Reglas!$C$6,Reglas!$C$7,Reglas!$C$8,Reglas!$C$9))</f>
        <v>3</v>
      </c>
      <c r="M27" s="16" t="s">
        <v>70</v>
      </c>
      <c r="N27" s="16" t="n">
        <v>3</v>
      </c>
      <c r="O27" s="16" t="s">
        <v>124</v>
      </c>
      <c r="P27" s="14" t="s">
        <v>205</v>
      </c>
      <c r="Q27" s="15"/>
    </row>
    <row r="28" customFormat="false" ht="35.05" hidden="false" customHeight="false" outlineLevel="0" collapsed="false">
      <c r="A28" s="15" t="s">
        <v>206</v>
      </c>
      <c r="B28" s="17" t="s">
        <v>207</v>
      </c>
      <c r="C28" s="15" t="n">
        <v>2</v>
      </c>
      <c r="D28" s="15" t="n">
        <f aca="false">IF(Q28="Sí",0,C28*Reglas!$C$5)</f>
        <v>40</v>
      </c>
      <c r="E28" s="14" t="s">
        <v>64</v>
      </c>
      <c r="F28" s="14" t="s">
        <v>164</v>
      </c>
      <c r="G28" s="15" t="s">
        <v>102</v>
      </c>
      <c r="H28" s="14" t="s">
        <v>121</v>
      </c>
      <c r="I28" s="14" t="s">
        <v>122</v>
      </c>
      <c r="J28" s="14" t="s">
        <v>208</v>
      </c>
      <c r="K28" s="14" t="s">
        <v>170</v>
      </c>
      <c r="L28" s="15" t="n">
        <f aca="false">IF(C28=1,0,CHOOSE(C28-1,Reglas!$C$6,Reglas!$C$7,Reglas!$C$8,Reglas!$C$9))</f>
        <v>3</v>
      </c>
      <c r="M28" s="16" t="s">
        <v>70</v>
      </c>
      <c r="N28" s="16" t="n">
        <v>3</v>
      </c>
      <c r="O28" s="16" t="s">
        <v>124</v>
      </c>
      <c r="P28" s="14" t="s">
        <v>209</v>
      </c>
      <c r="Q28" s="15"/>
    </row>
    <row r="29" customFormat="false" ht="23.85" hidden="false" customHeight="false" outlineLevel="0" collapsed="false">
      <c r="A29" s="15" t="s">
        <v>210</v>
      </c>
      <c r="B29" s="17" t="s">
        <v>211</v>
      </c>
      <c r="C29" s="15" t="n">
        <v>3</v>
      </c>
      <c r="D29" s="15" t="n">
        <f aca="false">IF(Q29="Sí",0,C29*Reglas!$C$5)</f>
        <v>60</v>
      </c>
      <c r="E29" s="14" t="s">
        <v>101</v>
      </c>
      <c r="F29" s="14" t="s">
        <v>164</v>
      </c>
      <c r="G29" s="15" t="s">
        <v>102</v>
      </c>
      <c r="H29" s="14" t="s">
        <v>193</v>
      </c>
      <c r="I29" s="14" t="s">
        <v>128</v>
      </c>
      <c r="J29" s="14" t="s">
        <v>212</v>
      </c>
      <c r="K29" s="14" t="s">
        <v>213</v>
      </c>
      <c r="L29" s="15" t="n">
        <f aca="false">IF(C29=1,0,CHOOSE(C29-1,Reglas!$C$6,Reglas!$C$7,Reglas!$C$8,Reglas!$C$9))</f>
        <v>5</v>
      </c>
      <c r="M29" s="16" t="s">
        <v>70</v>
      </c>
      <c r="N29" s="16" t="n">
        <v>3</v>
      </c>
      <c r="O29" s="16" t="s">
        <v>71</v>
      </c>
      <c r="P29" s="14" t="s">
        <v>214</v>
      </c>
      <c r="Q29" s="15"/>
    </row>
    <row r="30" customFormat="false" ht="15" hidden="false" customHeight="false" outlineLevel="0" collapsed="false">
      <c r="A30" s="15" t="s">
        <v>215</v>
      </c>
      <c r="B30" s="17" t="s">
        <v>216</v>
      </c>
      <c r="C30" s="15" t="n">
        <v>4</v>
      </c>
      <c r="D30" s="15" t="n">
        <f aca="false">IF(Q30="Sí",0,C30*Reglas!$C$5)</f>
        <v>80</v>
      </c>
      <c r="E30" s="14" t="s">
        <v>101</v>
      </c>
      <c r="F30" s="14" t="s">
        <v>164</v>
      </c>
      <c r="G30" s="15" t="s">
        <v>102</v>
      </c>
      <c r="H30" s="14" t="s">
        <v>193</v>
      </c>
      <c r="I30" s="14" t="s">
        <v>111</v>
      </c>
      <c r="J30" s="14" t="s">
        <v>217</v>
      </c>
      <c r="K30" s="14" t="s">
        <v>218</v>
      </c>
      <c r="L30" s="15" t="n">
        <f aca="false">IF(C30=1,0,CHOOSE(C30-1,Reglas!$C$6,Reglas!$C$7,Reglas!$C$8,Reglas!$C$9))</f>
        <v>6</v>
      </c>
      <c r="M30" s="16" t="s">
        <v>70</v>
      </c>
      <c r="N30" s="16" t="n">
        <v>4</v>
      </c>
      <c r="O30" s="16" t="s">
        <v>124</v>
      </c>
      <c r="P30" s="14" t="s">
        <v>219</v>
      </c>
      <c r="Q30" s="15"/>
    </row>
    <row r="31" customFormat="false" ht="23.85" hidden="false" customHeight="false" outlineLevel="0" collapsed="false">
      <c r="A31" s="15" t="s">
        <v>220</v>
      </c>
      <c r="B31" s="17" t="s">
        <v>221</v>
      </c>
      <c r="C31" s="15" t="n">
        <v>4</v>
      </c>
      <c r="D31" s="15" t="n">
        <f aca="false">IF(Q31="Sí",0,C31*Reglas!$C$5)</f>
        <v>80</v>
      </c>
      <c r="E31" s="14" t="s">
        <v>64</v>
      </c>
      <c r="F31" s="14" t="s">
        <v>164</v>
      </c>
      <c r="G31" s="15" t="s">
        <v>102</v>
      </c>
      <c r="H31" s="14" t="s">
        <v>164</v>
      </c>
      <c r="I31" s="14" t="s">
        <v>164</v>
      </c>
      <c r="J31" s="14" t="s">
        <v>222</v>
      </c>
      <c r="K31" s="14" t="s">
        <v>223</v>
      </c>
      <c r="L31" s="15" t="n">
        <f aca="false">IF(C31=1,0,CHOOSE(C31-1,Reglas!$C$6,Reglas!$C$7,Reglas!$C$8,Reglas!$C$9))</f>
        <v>6</v>
      </c>
      <c r="M31" s="16" t="s">
        <v>70</v>
      </c>
      <c r="N31" s="16" t="n">
        <v>3</v>
      </c>
      <c r="O31" s="16" t="s">
        <v>124</v>
      </c>
      <c r="P31" s="14" t="s">
        <v>224</v>
      </c>
      <c r="Q31" s="15"/>
    </row>
    <row r="32" customFormat="false" ht="23.85" hidden="false" customHeight="false" outlineLevel="0" collapsed="false">
      <c r="A32" s="15" t="s">
        <v>225</v>
      </c>
      <c r="B32" s="17" t="s">
        <v>226</v>
      </c>
      <c r="C32" s="15" t="n">
        <v>5</v>
      </c>
      <c r="D32" s="15" t="n">
        <f aca="false">IF(Q32="Sí",0,C32*Reglas!$C$5)</f>
        <v>100</v>
      </c>
      <c r="E32" s="14" t="s">
        <v>101</v>
      </c>
      <c r="F32" s="14" t="s">
        <v>164</v>
      </c>
      <c r="G32" s="15" t="s">
        <v>102</v>
      </c>
      <c r="H32" s="14" t="s">
        <v>193</v>
      </c>
      <c r="I32" s="14" t="s">
        <v>111</v>
      </c>
      <c r="J32" s="14" t="s">
        <v>227</v>
      </c>
      <c r="K32" s="14" t="s">
        <v>228</v>
      </c>
      <c r="L32" s="15" t="n">
        <f aca="false">IF(C32=1,0,CHOOSE(C32-1,Reglas!$C$6,Reglas!$C$7,Reglas!$C$8,Reglas!$C$9))</f>
        <v>6</v>
      </c>
      <c r="M32" s="16" t="s">
        <v>70</v>
      </c>
      <c r="N32" s="16" t="n">
        <v>3</v>
      </c>
      <c r="O32" s="16" t="s">
        <v>155</v>
      </c>
      <c r="P32" s="14" t="s">
        <v>229</v>
      </c>
      <c r="Q32" s="15"/>
    </row>
    <row r="33" customFormat="false" ht="15" hidden="false" customHeight="false" outlineLevel="0" collapsed="false">
      <c r="A33" s="12" t="s">
        <v>230</v>
      </c>
      <c r="B33" s="13" t="s">
        <v>231</v>
      </c>
      <c r="C33" s="12" t="n">
        <v>1</v>
      </c>
      <c r="D33" s="12" t="n">
        <f aca="false">IF(Q33="Sí",0,C33*Reglas!$C$5)</f>
        <v>20</v>
      </c>
      <c r="E33" s="14" t="s">
        <v>64</v>
      </c>
      <c r="F33" s="14" t="s">
        <v>232</v>
      </c>
      <c r="G33" s="12" t="s">
        <v>66</v>
      </c>
      <c r="H33" s="14" t="s">
        <v>232</v>
      </c>
      <c r="I33" s="14" t="s">
        <v>233</v>
      </c>
      <c r="J33" s="14" t="s">
        <v>234</v>
      </c>
      <c r="K33" s="14" t="s">
        <v>69</v>
      </c>
      <c r="L33" s="15" t="n">
        <f aca="false">IF(C33=1,0,CHOOSE(C33-1,Reglas!$C$6,Reglas!$C$7,Reglas!$C$8,Reglas!$C$9))</f>
        <v>0</v>
      </c>
      <c r="M33" s="16" t="s">
        <v>70</v>
      </c>
      <c r="N33" s="16" t="n">
        <v>5</v>
      </c>
      <c r="O33" s="16" t="s">
        <v>71</v>
      </c>
      <c r="P33" s="14" t="s">
        <v>235</v>
      </c>
      <c r="Q33" s="15"/>
    </row>
    <row r="34" customFormat="false" ht="15" hidden="false" customHeight="false" outlineLevel="0" collapsed="false">
      <c r="A34" s="12" t="s">
        <v>236</v>
      </c>
      <c r="B34" s="13" t="s">
        <v>237</v>
      </c>
      <c r="C34" s="12" t="n">
        <v>2</v>
      </c>
      <c r="D34" s="12" t="n">
        <f aca="false">IF(Q34="Sí",0,C34*Reglas!$C$5)</f>
        <v>40</v>
      </c>
      <c r="E34" s="14" t="s">
        <v>64</v>
      </c>
      <c r="F34" s="14" t="s">
        <v>232</v>
      </c>
      <c r="G34" s="12" t="s">
        <v>66</v>
      </c>
      <c r="H34" s="14" t="s">
        <v>75</v>
      </c>
      <c r="I34" s="14" t="s">
        <v>76</v>
      </c>
      <c r="J34" s="14" t="s">
        <v>238</v>
      </c>
      <c r="K34" s="14" t="s">
        <v>239</v>
      </c>
      <c r="L34" s="15" t="n">
        <f aca="false">IF(C34=1,0,CHOOSE(C34-1,Reglas!$C$6,Reglas!$C$7,Reglas!$C$8,Reglas!$C$9))</f>
        <v>3</v>
      </c>
      <c r="M34" s="16" t="s">
        <v>70</v>
      </c>
      <c r="N34" s="16" t="n">
        <v>4</v>
      </c>
      <c r="O34" s="16" t="s">
        <v>71</v>
      </c>
      <c r="P34" s="14" t="s">
        <v>240</v>
      </c>
      <c r="Q34" s="15"/>
    </row>
    <row r="35" customFormat="false" ht="23.85" hidden="false" customHeight="false" outlineLevel="0" collapsed="false">
      <c r="A35" s="12" t="s">
        <v>241</v>
      </c>
      <c r="B35" s="13" t="s">
        <v>242</v>
      </c>
      <c r="C35" s="12" t="n">
        <v>2</v>
      </c>
      <c r="D35" s="12" t="n">
        <f aca="false">IF(Q35="Sí",0,C35*Reglas!$C$5)</f>
        <v>40</v>
      </c>
      <c r="E35" s="14" t="s">
        <v>64</v>
      </c>
      <c r="F35" s="14" t="s">
        <v>232</v>
      </c>
      <c r="G35" s="12" t="s">
        <v>66</v>
      </c>
      <c r="H35" s="14" t="s">
        <v>232</v>
      </c>
      <c r="I35" s="14" t="s">
        <v>233</v>
      </c>
      <c r="J35" s="14" t="s">
        <v>243</v>
      </c>
      <c r="K35" s="14" t="s">
        <v>239</v>
      </c>
      <c r="L35" s="15" t="n">
        <f aca="false">IF(C35=1,0,CHOOSE(C35-1,Reglas!$C$6,Reglas!$C$7,Reglas!$C$8,Reglas!$C$9))</f>
        <v>3</v>
      </c>
      <c r="M35" s="16" t="s">
        <v>70</v>
      </c>
      <c r="N35" s="16" t="n">
        <v>4</v>
      </c>
      <c r="O35" s="16" t="s">
        <v>71</v>
      </c>
      <c r="P35" s="14" t="s">
        <v>244</v>
      </c>
      <c r="Q35" s="15"/>
    </row>
    <row r="36" customFormat="false" ht="15" hidden="false" customHeight="false" outlineLevel="0" collapsed="false">
      <c r="A36" s="12" t="s">
        <v>245</v>
      </c>
      <c r="B36" s="13" t="s">
        <v>246</v>
      </c>
      <c r="C36" s="12" t="n">
        <v>3</v>
      </c>
      <c r="D36" s="12" t="n">
        <f aca="false">IF(Q36="Sí",0,C36*Reglas!$C$5)</f>
        <v>60</v>
      </c>
      <c r="E36" s="14" t="s">
        <v>64</v>
      </c>
      <c r="F36" s="14" t="s">
        <v>232</v>
      </c>
      <c r="G36" s="12" t="s">
        <v>66</v>
      </c>
      <c r="H36" s="14" t="s">
        <v>232</v>
      </c>
      <c r="I36" s="14" t="s">
        <v>233</v>
      </c>
      <c r="J36" s="14" t="s">
        <v>247</v>
      </c>
      <c r="K36" s="14" t="s">
        <v>248</v>
      </c>
      <c r="L36" s="15" t="n">
        <f aca="false">IF(C36=1,0,CHOOSE(C36-1,Reglas!$C$6,Reglas!$C$7,Reglas!$C$8,Reglas!$C$9))</f>
        <v>5</v>
      </c>
      <c r="M36" s="16" t="s">
        <v>70</v>
      </c>
      <c r="N36" s="16" t="n">
        <v>4</v>
      </c>
      <c r="O36" s="16" t="s">
        <v>71</v>
      </c>
      <c r="P36" s="14" t="s">
        <v>249</v>
      </c>
      <c r="Q36" s="15"/>
    </row>
    <row r="37" customFormat="false" ht="23.85" hidden="false" customHeight="false" outlineLevel="0" collapsed="false">
      <c r="A37" s="12" t="s">
        <v>250</v>
      </c>
      <c r="B37" s="13" t="s">
        <v>251</v>
      </c>
      <c r="C37" s="12" t="n">
        <v>4</v>
      </c>
      <c r="D37" s="12" t="n">
        <f aca="false">IF(Q37="Sí",0,C37*Reglas!$C$5)</f>
        <v>80</v>
      </c>
      <c r="E37" s="14" t="s">
        <v>64</v>
      </c>
      <c r="F37" s="14" t="s">
        <v>232</v>
      </c>
      <c r="G37" s="12" t="s">
        <v>66</v>
      </c>
      <c r="H37" s="14" t="s">
        <v>75</v>
      </c>
      <c r="I37" s="14" t="s">
        <v>76</v>
      </c>
      <c r="J37" s="14" t="s">
        <v>252</v>
      </c>
      <c r="K37" s="14" t="s">
        <v>253</v>
      </c>
      <c r="L37" s="15" t="n">
        <f aca="false">IF(C37=1,0,CHOOSE(C37-1,Reglas!$C$6,Reglas!$C$7,Reglas!$C$8,Reglas!$C$9))</f>
        <v>6</v>
      </c>
      <c r="M37" s="16" t="s">
        <v>70</v>
      </c>
      <c r="N37" s="16" t="n">
        <v>4</v>
      </c>
      <c r="O37" s="16" t="s">
        <v>71</v>
      </c>
      <c r="P37" s="14" t="s">
        <v>254</v>
      </c>
      <c r="Q37" s="15"/>
    </row>
    <row r="38" customFormat="false" ht="15" hidden="false" customHeight="false" outlineLevel="0" collapsed="false">
      <c r="A38" s="12" t="s">
        <v>255</v>
      </c>
      <c r="B38" s="13" t="s">
        <v>256</v>
      </c>
      <c r="C38" s="12" t="n">
        <v>5</v>
      </c>
      <c r="D38" s="12" t="n">
        <f aca="false">IF(Q38="Sí",0,C38*Reglas!$C$5)</f>
        <v>100</v>
      </c>
      <c r="E38" s="14" t="s">
        <v>64</v>
      </c>
      <c r="F38" s="14" t="s">
        <v>232</v>
      </c>
      <c r="G38" s="12" t="s">
        <v>66</v>
      </c>
      <c r="H38" s="14" t="s">
        <v>232</v>
      </c>
      <c r="I38" s="14" t="s">
        <v>233</v>
      </c>
      <c r="J38" s="14" t="s">
        <v>257</v>
      </c>
      <c r="K38" s="14" t="s">
        <v>258</v>
      </c>
      <c r="L38" s="15" t="n">
        <f aca="false">IF(C38=1,0,CHOOSE(C38-1,Reglas!$C$6,Reglas!$C$7,Reglas!$C$8,Reglas!$C$9))</f>
        <v>6</v>
      </c>
      <c r="M38" s="16" t="s">
        <v>70</v>
      </c>
      <c r="N38" s="16" t="n">
        <v>3</v>
      </c>
      <c r="O38" s="16" t="s">
        <v>71</v>
      </c>
      <c r="P38" s="14" t="s">
        <v>190</v>
      </c>
      <c r="Q38" s="15"/>
    </row>
    <row r="39" customFormat="false" ht="15" hidden="false" customHeight="false" outlineLevel="0" collapsed="false">
      <c r="A39" s="15" t="s">
        <v>259</v>
      </c>
      <c r="B39" s="17" t="s">
        <v>260</v>
      </c>
      <c r="C39" s="15" t="n">
        <v>1</v>
      </c>
      <c r="D39" s="15" t="n">
        <f aca="false">IF(Q39="Sí",0,C39*Reglas!$C$5)</f>
        <v>0</v>
      </c>
      <c r="E39" s="14" t="s">
        <v>101</v>
      </c>
      <c r="F39" s="14" t="s">
        <v>232</v>
      </c>
      <c r="G39" s="15" t="s">
        <v>102</v>
      </c>
      <c r="H39" s="14" t="s">
        <v>261</v>
      </c>
      <c r="I39" s="14" t="s">
        <v>104</v>
      </c>
      <c r="J39" s="14" t="s">
        <v>262</v>
      </c>
      <c r="K39" s="14" t="s">
        <v>69</v>
      </c>
      <c r="L39" s="15" t="n">
        <f aca="false">IF(C39=1,0,CHOOSE(C39-1,Reglas!$C$6,Reglas!$C$7,Reglas!$C$8,Reglas!$C$9))</f>
        <v>0</v>
      </c>
      <c r="M39" s="16" t="s">
        <v>106</v>
      </c>
      <c r="N39" s="16" t="n">
        <v>5</v>
      </c>
      <c r="O39" s="16" t="s">
        <v>71</v>
      </c>
      <c r="P39" s="14" t="s">
        <v>263</v>
      </c>
      <c r="Q39" s="15" t="s">
        <v>108</v>
      </c>
    </row>
    <row r="40" customFormat="false" ht="15" hidden="false" customHeight="false" outlineLevel="0" collapsed="false">
      <c r="A40" s="15" t="s">
        <v>264</v>
      </c>
      <c r="B40" s="17" t="s">
        <v>265</v>
      </c>
      <c r="C40" s="15" t="n">
        <v>2</v>
      </c>
      <c r="D40" s="15" t="n">
        <f aca="false">IF(Q40="Sí",0,C40*Reglas!$C$5)</f>
        <v>40</v>
      </c>
      <c r="E40" s="14" t="s">
        <v>101</v>
      </c>
      <c r="F40" s="14" t="s">
        <v>232</v>
      </c>
      <c r="G40" s="15" t="s">
        <v>102</v>
      </c>
      <c r="H40" s="14" t="s">
        <v>261</v>
      </c>
      <c r="I40" s="14" t="s">
        <v>111</v>
      </c>
      <c r="J40" s="14" t="s">
        <v>266</v>
      </c>
      <c r="K40" s="14" t="s">
        <v>267</v>
      </c>
      <c r="L40" s="15" t="n">
        <f aca="false">IF(C40=1,0,CHOOSE(C40-1,Reglas!$C$6,Reglas!$C$7,Reglas!$C$8,Reglas!$C$9))</f>
        <v>3</v>
      </c>
      <c r="M40" s="16" t="s">
        <v>70</v>
      </c>
      <c r="N40" s="16" t="n">
        <v>4</v>
      </c>
      <c r="O40" s="16" t="s">
        <v>71</v>
      </c>
      <c r="P40" s="14" t="s">
        <v>200</v>
      </c>
      <c r="Q40" s="15"/>
    </row>
    <row r="41" customFormat="false" ht="15" hidden="false" customHeight="false" outlineLevel="0" collapsed="false">
      <c r="A41" s="15" t="s">
        <v>268</v>
      </c>
      <c r="B41" s="17" t="s">
        <v>269</v>
      </c>
      <c r="C41" s="15" t="n">
        <v>2</v>
      </c>
      <c r="D41" s="15" t="n">
        <f aca="false">IF(Q41="Sí",0,C41*Reglas!$C$5)</f>
        <v>40</v>
      </c>
      <c r="E41" s="14" t="s">
        <v>64</v>
      </c>
      <c r="F41" s="14" t="s">
        <v>232</v>
      </c>
      <c r="G41" s="15" t="s">
        <v>102</v>
      </c>
      <c r="H41" s="14" t="s">
        <v>232</v>
      </c>
      <c r="I41" s="14" t="s">
        <v>233</v>
      </c>
      <c r="J41" s="14" t="s">
        <v>270</v>
      </c>
      <c r="K41" s="14" t="s">
        <v>239</v>
      </c>
      <c r="L41" s="15" t="n">
        <f aca="false">IF(C41=1,0,CHOOSE(C41-1,Reglas!$C$6,Reglas!$C$7,Reglas!$C$8,Reglas!$C$9))</f>
        <v>3</v>
      </c>
      <c r="M41" s="16" t="s">
        <v>70</v>
      </c>
      <c r="N41" s="16" t="n">
        <v>3</v>
      </c>
      <c r="O41" s="16" t="s">
        <v>124</v>
      </c>
      <c r="P41" s="14" t="s">
        <v>271</v>
      </c>
      <c r="Q41" s="15"/>
    </row>
    <row r="42" customFormat="false" ht="23.85" hidden="false" customHeight="false" outlineLevel="0" collapsed="false">
      <c r="A42" s="15" t="s">
        <v>272</v>
      </c>
      <c r="B42" s="17" t="s">
        <v>273</v>
      </c>
      <c r="C42" s="15" t="n">
        <v>2</v>
      </c>
      <c r="D42" s="15" t="n">
        <f aca="false">IF(Q42="Sí",0,C42*Reglas!$C$5)</f>
        <v>40</v>
      </c>
      <c r="E42" s="14" t="s">
        <v>64</v>
      </c>
      <c r="F42" s="14" t="s">
        <v>232</v>
      </c>
      <c r="G42" s="15" t="s">
        <v>102</v>
      </c>
      <c r="H42" s="14" t="s">
        <v>232</v>
      </c>
      <c r="I42" s="14" t="s">
        <v>233</v>
      </c>
      <c r="J42" s="14" t="s">
        <v>274</v>
      </c>
      <c r="K42" s="14" t="s">
        <v>239</v>
      </c>
      <c r="L42" s="15" t="n">
        <f aca="false">IF(C42=1,0,CHOOSE(C42-1,Reglas!$C$6,Reglas!$C$7,Reglas!$C$8,Reglas!$C$9))</f>
        <v>3</v>
      </c>
      <c r="M42" s="16" t="s">
        <v>70</v>
      </c>
      <c r="N42" s="16" t="n">
        <v>3</v>
      </c>
      <c r="O42" s="16" t="s">
        <v>124</v>
      </c>
      <c r="P42" s="14" t="s">
        <v>275</v>
      </c>
      <c r="Q42" s="15"/>
    </row>
    <row r="43" customFormat="false" ht="23.85" hidden="false" customHeight="false" outlineLevel="0" collapsed="false">
      <c r="A43" s="15" t="s">
        <v>276</v>
      </c>
      <c r="B43" s="17" t="s">
        <v>277</v>
      </c>
      <c r="C43" s="15" t="n">
        <v>2</v>
      </c>
      <c r="D43" s="15" t="n">
        <f aca="false">IF(Q43="Sí",0,C43*Reglas!$C$5)</f>
        <v>40</v>
      </c>
      <c r="E43" s="14" t="s">
        <v>64</v>
      </c>
      <c r="F43" s="14" t="s">
        <v>232</v>
      </c>
      <c r="G43" s="15" t="s">
        <v>102</v>
      </c>
      <c r="H43" s="14" t="s">
        <v>121</v>
      </c>
      <c r="I43" s="14" t="s">
        <v>122</v>
      </c>
      <c r="J43" s="14" t="s">
        <v>278</v>
      </c>
      <c r="K43" s="14" t="s">
        <v>239</v>
      </c>
      <c r="L43" s="15" t="n">
        <f aca="false">IF(C43=1,0,CHOOSE(C43-1,Reglas!$C$6,Reglas!$C$7,Reglas!$C$8,Reglas!$C$9))</f>
        <v>3</v>
      </c>
      <c r="M43" s="16" t="s">
        <v>70</v>
      </c>
      <c r="N43" s="16" t="n">
        <v>3</v>
      </c>
      <c r="O43" s="16" t="s">
        <v>124</v>
      </c>
      <c r="P43" s="14" t="s">
        <v>279</v>
      </c>
      <c r="Q43" s="15"/>
    </row>
    <row r="44" customFormat="false" ht="23.85" hidden="false" customHeight="false" outlineLevel="0" collapsed="false">
      <c r="A44" s="15" t="s">
        <v>280</v>
      </c>
      <c r="B44" s="17" t="s">
        <v>281</v>
      </c>
      <c r="C44" s="15" t="n">
        <v>2</v>
      </c>
      <c r="D44" s="15" t="n">
        <f aca="false">IF(Q44="Sí",0,C44*Reglas!$C$5)</f>
        <v>40</v>
      </c>
      <c r="E44" s="14" t="s">
        <v>64</v>
      </c>
      <c r="F44" s="14" t="s">
        <v>232</v>
      </c>
      <c r="G44" s="15" t="s">
        <v>102</v>
      </c>
      <c r="H44" s="14" t="s">
        <v>121</v>
      </c>
      <c r="I44" s="14" t="s">
        <v>122</v>
      </c>
      <c r="J44" s="14" t="s">
        <v>282</v>
      </c>
      <c r="K44" s="14" t="s">
        <v>239</v>
      </c>
      <c r="L44" s="15" t="n">
        <f aca="false">IF(C44=1,0,CHOOSE(C44-1,Reglas!$C$6,Reglas!$C$7,Reglas!$C$8,Reglas!$C$9))</f>
        <v>3</v>
      </c>
      <c r="M44" s="16" t="s">
        <v>70</v>
      </c>
      <c r="N44" s="16" t="n">
        <v>3</v>
      </c>
      <c r="O44" s="16" t="s">
        <v>124</v>
      </c>
      <c r="P44" s="14" t="s">
        <v>283</v>
      </c>
      <c r="Q44" s="15"/>
    </row>
    <row r="45" customFormat="false" ht="23.85" hidden="false" customHeight="false" outlineLevel="0" collapsed="false">
      <c r="A45" s="15" t="s">
        <v>284</v>
      </c>
      <c r="B45" s="17" t="s">
        <v>285</v>
      </c>
      <c r="C45" s="15" t="n">
        <v>3</v>
      </c>
      <c r="D45" s="15" t="n">
        <f aca="false">IF(Q45="Sí",0,C45*Reglas!$C$5)</f>
        <v>60</v>
      </c>
      <c r="E45" s="14" t="s">
        <v>101</v>
      </c>
      <c r="F45" s="14" t="s">
        <v>232</v>
      </c>
      <c r="G45" s="15" t="s">
        <v>102</v>
      </c>
      <c r="H45" s="14" t="s">
        <v>261</v>
      </c>
      <c r="I45" s="14" t="s">
        <v>128</v>
      </c>
      <c r="J45" s="14" t="s">
        <v>286</v>
      </c>
      <c r="K45" s="14" t="s">
        <v>287</v>
      </c>
      <c r="L45" s="15" t="n">
        <f aca="false">IF(C45=1,0,CHOOSE(C45-1,Reglas!$C$6,Reglas!$C$7,Reglas!$C$8,Reglas!$C$9))</f>
        <v>5</v>
      </c>
      <c r="M45" s="16" t="s">
        <v>70</v>
      </c>
      <c r="N45" s="16" t="n">
        <v>3</v>
      </c>
      <c r="O45" s="16" t="s">
        <v>71</v>
      </c>
      <c r="P45" s="14" t="s">
        <v>288</v>
      </c>
      <c r="Q45" s="15"/>
    </row>
    <row r="46" customFormat="false" ht="23.85" hidden="false" customHeight="false" outlineLevel="0" collapsed="false">
      <c r="A46" s="15" t="s">
        <v>289</v>
      </c>
      <c r="B46" s="17" t="s">
        <v>290</v>
      </c>
      <c r="C46" s="15" t="n">
        <v>3</v>
      </c>
      <c r="D46" s="15" t="n">
        <f aca="false">IF(Q46="Sí",0,C46*Reglas!$C$5)</f>
        <v>60</v>
      </c>
      <c r="E46" s="14" t="s">
        <v>64</v>
      </c>
      <c r="F46" s="14" t="s">
        <v>232</v>
      </c>
      <c r="G46" s="15" t="s">
        <v>102</v>
      </c>
      <c r="H46" s="14" t="s">
        <v>232</v>
      </c>
      <c r="I46" s="14" t="s">
        <v>233</v>
      </c>
      <c r="J46" s="14" t="s">
        <v>291</v>
      </c>
      <c r="K46" s="14" t="s">
        <v>292</v>
      </c>
      <c r="L46" s="15" t="n">
        <f aca="false">IF(C46=1,0,CHOOSE(C46-1,Reglas!$C$6,Reglas!$C$7,Reglas!$C$8,Reglas!$C$9))</f>
        <v>5</v>
      </c>
      <c r="M46" s="16" t="s">
        <v>70</v>
      </c>
      <c r="N46" s="16" t="n">
        <v>3</v>
      </c>
      <c r="O46" s="16" t="s">
        <v>124</v>
      </c>
      <c r="P46" s="14" t="s">
        <v>293</v>
      </c>
      <c r="Q46" s="15"/>
    </row>
    <row r="47" customFormat="false" ht="15" hidden="false" customHeight="false" outlineLevel="0" collapsed="false">
      <c r="A47" s="15" t="s">
        <v>294</v>
      </c>
      <c r="B47" s="17" t="s">
        <v>295</v>
      </c>
      <c r="C47" s="15" t="n">
        <v>4</v>
      </c>
      <c r="D47" s="15" t="n">
        <f aca="false">IF(Q47="Sí",0,C47*Reglas!$C$5)</f>
        <v>80</v>
      </c>
      <c r="E47" s="14" t="s">
        <v>101</v>
      </c>
      <c r="F47" s="14" t="s">
        <v>232</v>
      </c>
      <c r="G47" s="15" t="s">
        <v>102</v>
      </c>
      <c r="H47" s="14" t="s">
        <v>261</v>
      </c>
      <c r="I47" s="14" t="s">
        <v>111</v>
      </c>
      <c r="J47" s="14" t="s">
        <v>296</v>
      </c>
      <c r="K47" s="14" t="s">
        <v>297</v>
      </c>
      <c r="L47" s="15" t="n">
        <f aca="false">IF(C47=1,0,CHOOSE(C47-1,Reglas!$C$6,Reglas!$C$7,Reglas!$C$8,Reglas!$C$9))</f>
        <v>6</v>
      </c>
      <c r="M47" s="16" t="s">
        <v>70</v>
      </c>
      <c r="N47" s="16" t="n">
        <v>4</v>
      </c>
      <c r="O47" s="16" t="s">
        <v>124</v>
      </c>
      <c r="P47" s="14" t="s">
        <v>298</v>
      </c>
      <c r="Q47" s="15"/>
    </row>
    <row r="48" customFormat="false" ht="15" hidden="false" customHeight="false" outlineLevel="0" collapsed="false">
      <c r="A48" s="15" t="s">
        <v>299</v>
      </c>
      <c r="B48" s="17" t="s">
        <v>300</v>
      </c>
      <c r="C48" s="15" t="n">
        <v>4</v>
      </c>
      <c r="D48" s="15" t="n">
        <f aca="false">IF(Q48="Sí",0,C48*Reglas!$C$5)</f>
        <v>80</v>
      </c>
      <c r="E48" s="14" t="s">
        <v>64</v>
      </c>
      <c r="F48" s="14" t="s">
        <v>232</v>
      </c>
      <c r="G48" s="15" t="s">
        <v>102</v>
      </c>
      <c r="H48" s="14" t="s">
        <v>232</v>
      </c>
      <c r="I48" s="14" t="s">
        <v>233</v>
      </c>
      <c r="J48" s="14" t="s">
        <v>301</v>
      </c>
      <c r="K48" s="14" t="s">
        <v>302</v>
      </c>
      <c r="L48" s="15" t="n">
        <f aca="false">IF(C48=1,0,CHOOSE(C48-1,Reglas!$C$6,Reglas!$C$7,Reglas!$C$8,Reglas!$C$9))</f>
        <v>6</v>
      </c>
      <c r="M48" s="16" t="s">
        <v>70</v>
      </c>
      <c r="N48" s="16" t="n">
        <v>4</v>
      </c>
      <c r="O48" s="16" t="s">
        <v>71</v>
      </c>
      <c r="P48" s="14" t="s">
        <v>303</v>
      </c>
      <c r="Q48" s="15"/>
    </row>
    <row r="49" customFormat="false" ht="15" hidden="false" customHeight="false" outlineLevel="0" collapsed="false">
      <c r="A49" s="15" t="s">
        <v>304</v>
      </c>
      <c r="B49" s="17" t="s">
        <v>305</v>
      </c>
      <c r="C49" s="15" t="n">
        <v>4</v>
      </c>
      <c r="D49" s="15" t="n">
        <f aca="false">IF(Q49="Sí",0,C49*Reglas!$C$5)</f>
        <v>80</v>
      </c>
      <c r="E49" s="14" t="s">
        <v>64</v>
      </c>
      <c r="F49" s="14" t="s">
        <v>232</v>
      </c>
      <c r="G49" s="15" t="s">
        <v>102</v>
      </c>
      <c r="H49" s="14" t="s">
        <v>232</v>
      </c>
      <c r="I49" s="14" t="s">
        <v>233</v>
      </c>
      <c r="J49" s="14" t="s">
        <v>306</v>
      </c>
      <c r="K49" s="14" t="s">
        <v>307</v>
      </c>
      <c r="L49" s="15" t="n">
        <f aca="false">IF(C49=1,0,CHOOSE(C49-1,Reglas!$C$6,Reglas!$C$7,Reglas!$C$8,Reglas!$C$9))</f>
        <v>6</v>
      </c>
      <c r="M49" s="16" t="s">
        <v>70</v>
      </c>
      <c r="N49" s="16" t="n">
        <v>3</v>
      </c>
      <c r="O49" s="16" t="s">
        <v>71</v>
      </c>
      <c r="P49" s="14" t="s">
        <v>308</v>
      </c>
      <c r="Q49" s="15"/>
    </row>
    <row r="50" customFormat="false" ht="23.85" hidden="false" customHeight="false" outlineLevel="0" collapsed="false">
      <c r="A50" s="15" t="s">
        <v>309</v>
      </c>
      <c r="B50" s="17" t="s">
        <v>310</v>
      </c>
      <c r="C50" s="15" t="n">
        <v>4</v>
      </c>
      <c r="D50" s="15" t="n">
        <f aca="false">IF(Q50="Sí",0,C50*Reglas!$C$5)</f>
        <v>80</v>
      </c>
      <c r="E50" s="14" t="s">
        <v>64</v>
      </c>
      <c r="F50" s="14" t="s">
        <v>232</v>
      </c>
      <c r="G50" s="15" t="s">
        <v>102</v>
      </c>
      <c r="H50" s="14" t="s">
        <v>232</v>
      </c>
      <c r="I50" s="14" t="s">
        <v>233</v>
      </c>
      <c r="J50" s="14" t="s">
        <v>311</v>
      </c>
      <c r="K50" s="14" t="s">
        <v>302</v>
      </c>
      <c r="L50" s="15" t="n">
        <f aca="false">IF(C50=1,0,CHOOSE(C50-1,Reglas!$C$6,Reglas!$C$7,Reglas!$C$8,Reglas!$C$9))</f>
        <v>6</v>
      </c>
      <c r="M50" s="16" t="s">
        <v>70</v>
      </c>
      <c r="N50" s="16" t="n">
        <v>2</v>
      </c>
      <c r="O50" s="16" t="s">
        <v>71</v>
      </c>
      <c r="P50" s="14" t="s">
        <v>312</v>
      </c>
      <c r="Q50" s="15"/>
    </row>
    <row r="51" customFormat="false" ht="23.85" hidden="false" customHeight="false" outlineLevel="0" collapsed="false">
      <c r="A51" s="15" t="s">
        <v>313</v>
      </c>
      <c r="B51" s="17" t="s">
        <v>314</v>
      </c>
      <c r="C51" s="15" t="n">
        <v>5</v>
      </c>
      <c r="D51" s="15" t="n">
        <f aca="false">IF(Q51="Sí",0,C51*Reglas!$C$5)</f>
        <v>100</v>
      </c>
      <c r="E51" s="14" t="s">
        <v>101</v>
      </c>
      <c r="F51" s="14" t="s">
        <v>232</v>
      </c>
      <c r="G51" s="15" t="s">
        <v>102</v>
      </c>
      <c r="H51" s="14" t="s">
        <v>261</v>
      </c>
      <c r="I51" s="14" t="s">
        <v>111</v>
      </c>
      <c r="J51" s="14" t="s">
        <v>315</v>
      </c>
      <c r="K51" s="14" t="s">
        <v>316</v>
      </c>
      <c r="L51" s="15" t="n">
        <f aca="false">IF(C51=1,0,CHOOSE(C51-1,Reglas!$C$6,Reglas!$C$7,Reglas!$C$8,Reglas!$C$9))</f>
        <v>6</v>
      </c>
      <c r="M51" s="16" t="s">
        <v>70</v>
      </c>
      <c r="N51" s="16" t="n">
        <v>3</v>
      </c>
      <c r="O51" s="16" t="s">
        <v>155</v>
      </c>
      <c r="P51" s="14" t="s">
        <v>317</v>
      </c>
      <c r="Q51" s="15"/>
    </row>
    <row r="52" customFormat="false" ht="23.85" hidden="false" customHeight="false" outlineLevel="0" collapsed="false">
      <c r="A52" s="15" t="s">
        <v>318</v>
      </c>
      <c r="B52" s="17" t="s">
        <v>319</v>
      </c>
      <c r="C52" s="15" t="n">
        <v>5</v>
      </c>
      <c r="D52" s="15" t="n">
        <f aca="false">IF(Q52="Sí",0,C52*Reglas!$C$5)</f>
        <v>100</v>
      </c>
      <c r="E52" s="14" t="s">
        <v>64</v>
      </c>
      <c r="F52" s="14" t="s">
        <v>232</v>
      </c>
      <c r="G52" s="15" t="s">
        <v>102</v>
      </c>
      <c r="H52" s="14" t="s">
        <v>232</v>
      </c>
      <c r="I52" s="14" t="s">
        <v>233</v>
      </c>
      <c r="J52" s="14" t="s">
        <v>320</v>
      </c>
      <c r="K52" s="14" t="s">
        <v>321</v>
      </c>
      <c r="L52" s="15" t="n">
        <f aca="false">IF(C52=1,0,CHOOSE(C52-1,Reglas!$C$6,Reglas!$C$7,Reglas!$C$8,Reglas!$C$9))</f>
        <v>6</v>
      </c>
      <c r="M52" s="16" t="s">
        <v>70</v>
      </c>
      <c r="N52" s="16" t="n">
        <v>3</v>
      </c>
      <c r="O52" s="16" t="s">
        <v>124</v>
      </c>
      <c r="P52" s="14" t="s">
        <v>322</v>
      </c>
      <c r="Q52" s="15"/>
    </row>
    <row r="53" customFormat="false" ht="15" hidden="false" customHeight="false" outlineLevel="0" collapsed="false">
      <c r="A53" s="12" t="s">
        <v>323</v>
      </c>
      <c r="B53" s="13" t="s">
        <v>324</v>
      </c>
      <c r="C53" s="12" t="n">
        <v>1</v>
      </c>
      <c r="D53" s="12" t="n">
        <f aca="false">IF(Q53="Sí",0,C53*Reglas!$C$5)</f>
        <v>20</v>
      </c>
      <c r="E53" s="14" t="s">
        <v>64</v>
      </c>
      <c r="F53" s="14" t="s">
        <v>325</v>
      </c>
      <c r="G53" s="12" t="s">
        <v>66</v>
      </c>
      <c r="H53" s="14" t="s">
        <v>325</v>
      </c>
      <c r="I53" s="14" t="s">
        <v>326</v>
      </c>
      <c r="J53" s="14" t="s">
        <v>327</v>
      </c>
      <c r="K53" s="14" t="s">
        <v>69</v>
      </c>
      <c r="L53" s="15" t="n">
        <f aca="false">IF(C53=1,0,CHOOSE(C53-1,Reglas!$C$6,Reglas!$C$7,Reglas!$C$8,Reglas!$C$9))</f>
        <v>0</v>
      </c>
      <c r="M53" s="16" t="s">
        <v>70</v>
      </c>
      <c r="N53" s="16" t="n">
        <v>5</v>
      </c>
      <c r="O53" s="16" t="s">
        <v>71</v>
      </c>
      <c r="P53" s="14" t="s">
        <v>328</v>
      </c>
      <c r="Q53" s="15"/>
    </row>
    <row r="54" customFormat="false" ht="15" hidden="false" customHeight="false" outlineLevel="0" collapsed="false">
      <c r="A54" s="12" t="s">
        <v>329</v>
      </c>
      <c r="B54" s="13" t="s">
        <v>330</v>
      </c>
      <c r="C54" s="12" t="n">
        <v>2</v>
      </c>
      <c r="D54" s="12" t="n">
        <f aca="false">IF(Q54="Sí",0,C54*Reglas!$C$5)</f>
        <v>40</v>
      </c>
      <c r="E54" s="14" t="s">
        <v>64</v>
      </c>
      <c r="F54" s="14" t="s">
        <v>325</v>
      </c>
      <c r="G54" s="12" t="s">
        <v>66</v>
      </c>
      <c r="H54" s="14" t="s">
        <v>75</v>
      </c>
      <c r="I54" s="14" t="s">
        <v>76</v>
      </c>
      <c r="J54" s="14" t="s">
        <v>331</v>
      </c>
      <c r="K54" s="14" t="s">
        <v>332</v>
      </c>
      <c r="L54" s="15" t="n">
        <f aca="false">IF(C54=1,0,CHOOSE(C54-1,Reglas!$C$6,Reglas!$C$7,Reglas!$C$8,Reglas!$C$9))</f>
        <v>3</v>
      </c>
      <c r="M54" s="16" t="s">
        <v>70</v>
      </c>
      <c r="N54" s="16" t="n">
        <v>4</v>
      </c>
      <c r="O54" s="16" t="s">
        <v>71</v>
      </c>
      <c r="P54" s="14" t="s">
        <v>333</v>
      </c>
      <c r="Q54" s="15"/>
    </row>
    <row r="55" customFormat="false" ht="15" hidden="false" customHeight="false" outlineLevel="0" collapsed="false">
      <c r="A55" s="12" t="s">
        <v>334</v>
      </c>
      <c r="B55" s="13" t="s">
        <v>335</v>
      </c>
      <c r="C55" s="12" t="n">
        <v>2</v>
      </c>
      <c r="D55" s="12" t="n">
        <f aca="false">IF(Q55="Sí",0,C55*Reglas!$C$5)</f>
        <v>40</v>
      </c>
      <c r="E55" s="14" t="s">
        <v>64</v>
      </c>
      <c r="F55" s="14" t="s">
        <v>325</v>
      </c>
      <c r="G55" s="12" t="s">
        <v>66</v>
      </c>
      <c r="H55" s="14" t="s">
        <v>325</v>
      </c>
      <c r="I55" s="14" t="s">
        <v>326</v>
      </c>
      <c r="J55" s="14" t="s">
        <v>336</v>
      </c>
      <c r="K55" s="14" t="s">
        <v>332</v>
      </c>
      <c r="L55" s="15" t="n">
        <f aca="false">IF(C55=1,0,CHOOSE(C55-1,Reglas!$C$6,Reglas!$C$7,Reglas!$C$8,Reglas!$C$9))</f>
        <v>3</v>
      </c>
      <c r="M55" s="16" t="s">
        <v>70</v>
      </c>
      <c r="N55" s="16" t="n">
        <v>3</v>
      </c>
      <c r="O55" s="16" t="s">
        <v>71</v>
      </c>
      <c r="P55" s="14" t="s">
        <v>337</v>
      </c>
      <c r="Q55" s="15"/>
    </row>
    <row r="56" customFormat="false" ht="23.85" hidden="false" customHeight="false" outlineLevel="0" collapsed="false">
      <c r="A56" s="12" t="s">
        <v>338</v>
      </c>
      <c r="B56" s="13" t="s">
        <v>339</v>
      </c>
      <c r="C56" s="12" t="n">
        <v>3</v>
      </c>
      <c r="D56" s="12" t="n">
        <f aca="false">IF(Q56="Sí",0,C56*Reglas!$C$5)</f>
        <v>60</v>
      </c>
      <c r="E56" s="14" t="s">
        <v>64</v>
      </c>
      <c r="F56" s="14" t="s">
        <v>325</v>
      </c>
      <c r="G56" s="12" t="s">
        <v>66</v>
      </c>
      <c r="H56" s="14" t="s">
        <v>325</v>
      </c>
      <c r="I56" s="14" t="s">
        <v>326</v>
      </c>
      <c r="J56" s="14" t="s">
        <v>340</v>
      </c>
      <c r="K56" s="14" t="s">
        <v>341</v>
      </c>
      <c r="L56" s="15" t="n">
        <f aca="false">IF(C56=1,0,CHOOSE(C56-1,Reglas!$C$6,Reglas!$C$7,Reglas!$C$8,Reglas!$C$9))</f>
        <v>5</v>
      </c>
      <c r="M56" s="16" t="s">
        <v>70</v>
      </c>
      <c r="N56" s="16" t="n">
        <v>3</v>
      </c>
      <c r="O56" s="16" t="s">
        <v>71</v>
      </c>
      <c r="P56" s="14" t="s">
        <v>342</v>
      </c>
      <c r="Q56" s="15"/>
    </row>
    <row r="57" customFormat="false" ht="23.85" hidden="false" customHeight="false" outlineLevel="0" collapsed="false">
      <c r="A57" s="12" t="s">
        <v>343</v>
      </c>
      <c r="B57" s="13" t="s">
        <v>344</v>
      </c>
      <c r="C57" s="12" t="n">
        <v>4</v>
      </c>
      <c r="D57" s="12" t="n">
        <f aca="false">IF(Q57="Sí",0,C57*Reglas!$C$5)</f>
        <v>80</v>
      </c>
      <c r="E57" s="14" t="s">
        <v>64</v>
      </c>
      <c r="F57" s="14" t="s">
        <v>325</v>
      </c>
      <c r="G57" s="12" t="s">
        <v>66</v>
      </c>
      <c r="H57" s="14" t="s">
        <v>75</v>
      </c>
      <c r="I57" s="14" t="s">
        <v>76</v>
      </c>
      <c r="J57" s="14" t="s">
        <v>345</v>
      </c>
      <c r="K57" s="14" t="s">
        <v>346</v>
      </c>
      <c r="L57" s="15" t="n">
        <f aca="false">IF(C57=1,0,CHOOSE(C57-1,Reglas!$C$6,Reglas!$C$7,Reglas!$C$8,Reglas!$C$9))</f>
        <v>6</v>
      </c>
      <c r="M57" s="16" t="s">
        <v>70</v>
      </c>
      <c r="N57" s="16" t="n">
        <v>4</v>
      </c>
      <c r="O57" s="16" t="s">
        <v>71</v>
      </c>
      <c r="P57" s="14" t="s">
        <v>347</v>
      </c>
      <c r="Q57" s="15"/>
    </row>
    <row r="58" customFormat="false" ht="23.85" hidden="false" customHeight="false" outlineLevel="0" collapsed="false">
      <c r="A58" s="12" t="s">
        <v>348</v>
      </c>
      <c r="B58" s="13" t="s">
        <v>349</v>
      </c>
      <c r="C58" s="12" t="n">
        <v>4</v>
      </c>
      <c r="D58" s="12" t="n">
        <f aca="false">IF(Q58="Sí",0,C58*Reglas!$C$5)</f>
        <v>80</v>
      </c>
      <c r="E58" s="14" t="s">
        <v>64</v>
      </c>
      <c r="F58" s="14" t="s">
        <v>325</v>
      </c>
      <c r="G58" s="12" t="s">
        <v>66</v>
      </c>
      <c r="H58" s="14" t="s">
        <v>325</v>
      </c>
      <c r="I58" s="14" t="s">
        <v>326</v>
      </c>
      <c r="J58" s="14" t="s">
        <v>350</v>
      </c>
      <c r="K58" s="14" t="s">
        <v>351</v>
      </c>
      <c r="L58" s="15" t="n">
        <f aca="false">IF(C58=1,0,CHOOSE(C58-1,Reglas!$C$6,Reglas!$C$7,Reglas!$C$8,Reglas!$C$9))</f>
        <v>6</v>
      </c>
      <c r="M58" s="16" t="s">
        <v>70</v>
      </c>
      <c r="N58" s="16" t="n">
        <v>4</v>
      </c>
      <c r="O58" s="16" t="s">
        <v>71</v>
      </c>
      <c r="P58" s="14" t="s">
        <v>352</v>
      </c>
      <c r="Q58" s="15"/>
    </row>
    <row r="59" customFormat="false" ht="23.85" hidden="false" customHeight="false" outlineLevel="0" collapsed="false">
      <c r="A59" s="12" t="s">
        <v>353</v>
      </c>
      <c r="B59" s="13" t="s">
        <v>354</v>
      </c>
      <c r="C59" s="12" t="n">
        <v>5</v>
      </c>
      <c r="D59" s="12" t="n">
        <f aca="false">IF(Q59="Sí",0,C59*Reglas!$C$5)</f>
        <v>100</v>
      </c>
      <c r="E59" s="14" t="s">
        <v>64</v>
      </c>
      <c r="F59" s="14" t="s">
        <v>325</v>
      </c>
      <c r="G59" s="12" t="s">
        <v>66</v>
      </c>
      <c r="H59" s="14" t="s">
        <v>325</v>
      </c>
      <c r="I59" s="14" t="s">
        <v>355</v>
      </c>
      <c r="J59" s="14" t="s">
        <v>356</v>
      </c>
      <c r="K59" s="14" t="s">
        <v>357</v>
      </c>
      <c r="L59" s="15" t="n">
        <f aca="false">IF(C59=1,0,CHOOSE(C59-1,Reglas!$C$6,Reglas!$C$7,Reglas!$C$8,Reglas!$C$9))</f>
        <v>6</v>
      </c>
      <c r="M59" s="16" t="s">
        <v>70</v>
      </c>
      <c r="N59" s="16" t="n">
        <v>3</v>
      </c>
      <c r="O59" s="16" t="s">
        <v>124</v>
      </c>
      <c r="P59" s="14" t="s">
        <v>358</v>
      </c>
      <c r="Q59" s="15"/>
    </row>
    <row r="60" customFormat="false" ht="15" hidden="false" customHeight="false" outlineLevel="0" collapsed="false">
      <c r="A60" s="15" t="s">
        <v>359</v>
      </c>
      <c r="B60" s="17" t="s">
        <v>360</v>
      </c>
      <c r="C60" s="15" t="n">
        <v>1</v>
      </c>
      <c r="D60" s="15" t="n">
        <f aca="false">IF(Q60="Sí",0,C60*Reglas!$C$5)</f>
        <v>0</v>
      </c>
      <c r="E60" s="14" t="s">
        <v>101</v>
      </c>
      <c r="F60" s="14" t="s">
        <v>325</v>
      </c>
      <c r="G60" s="15" t="s">
        <v>102</v>
      </c>
      <c r="H60" s="14" t="s">
        <v>361</v>
      </c>
      <c r="I60" s="14" t="s">
        <v>104</v>
      </c>
      <c r="J60" s="14" t="s">
        <v>362</v>
      </c>
      <c r="K60" s="14" t="s">
        <v>69</v>
      </c>
      <c r="L60" s="15" t="n">
        <f aca="false">IF(C60=1,0,CHOOSE(C60-1,Reglas!$C$6,Reglas!$C$7,Reglas!$C$8,Reglas!$C$9))</f>
        <v>0</v>
      </c>
      <c r="M60" s="16" t="s">
        <v>106</v>
      </c>
      <c r="N60" s="16" t="n">
        <v>5</v>
      </c>
      <c r="O60" s="16" t="s">
        <v>71</v>
      </c>
      <c r="P60" s="14" t="s">
        <v>363</v>
      </c>
      <c r="Q60" s="15" t="s">
        <v>108</v>
      </c>
    </row>
    <row r="61" customFormat="false" ht="15" hidden="false" customHeight="false" outlineLevel="0" collapsed="false">
      <c r="A61" s="15" t="s">
        <v>364</v>
      </c>
      <c r="B61" s="17" t="s">
        <v>365</v>
      </c>
      <c r="C61" s="15" t="n">
        <v>2</v>
      </c>
      <c r="D61" s="15" t="n">
        <f aca="false">IF(Q61="Sí",0,C61*Reglas!$C$5)</f>
        <v>40</v>
      </c>
      <c r="E61" s="14" t="s">
        <v>101</v>
      </c>
      <c r="F61" s="14" t="s">
        <v>325</v>
      </c>
      <c r="G61" s="15" t="s">
        <v>102</v>
      </c>
      <c r="H61" s="14" t="s">
        <v>361</v>
      </c>
      <c r="I61" s="14" t="s">
        <v>111</v>
      </c>
      <c r="J61" s="14" t="s">
        <v>366</v>
      </c>
      <c r="K61" s="14" t="s">
        <v>367</v>
      </c>
      <c r="L61" s="15" t="n">
        <f aca="false">IF(C61=1,0,CHOOSE(C61-1,Reglas!$C$6,Reglas!$C$7,Reglas!$C$8,Reglas!$C$9))</f>
        <v>3</v>
      </c>
      <c r="M61" s="16" t="s">
        <v>70</v>
      </c>
      <c r="N61" s="16" t="n">
        <v>4</v>
      </c>
      <c r="O61" s="16" t="s">
        <v>71</v>
      </c>
      <c r="P61" s="14" t="s">
        <v>200</v>
      </c>
      <c r="Q61" s="15"/>
    </row>
    <row r="62" customFormat="false" ht="15" hidden="false" customHeight="false" outlineLevel="0" collapsed="false">
      <c r="A62" s="15" t="s">
        <v>368</v>
      </c>
      <c r="B62" s="17" t="s">
        <v>369</v>
      </c>
      <c r="C62" s="15" t="n">
        <v>2</v>
      </c>
      <c r="D62" s="15" t="n">
        <f aca="false">IF(Q62="Sí",0,C62*Reglas!$C$5)</f>
        <v>40</v>
      </c>
      <c r="E62" s="14" t="s">
        <v>64</v>
      </c>
      <c r="F62" s="14" t="s">
        <v>325</v>
      </c>
      <c r="G62" s="15" t="s">
        <v>102</v>
      </c>
      <c r="H62" s="14" t="s">
        <v>325</v>
      </c>
      <c r="I62" s="14" t="s">
        <v>370</v>
      </c>
      <c r="J62" s="14" t="s">
        <v>371</v>
      </c>
      <c r="K62" s="14" t="s">
        <v>332</v>
      </c>
      <c r="L62" s="15" t="n">
        <f aca="false">IF(C62=1,0,CHOOSE(C62-1,Reglas!$C$6,Reglas!$C$7,Reglas!$C$8,Reglas!$C$9))</f>
        <v>3</v>
      </c>
      <c r="M62" s="16" t="s">
        <v>70</v>
      </c>
      <c r="N62" s="16" t="n">
        <v>4</v>
      </c>
      <c r="O62" s="16" t="s">
        <v>71</v>
      </c>
      <c r="P62" s="14" t="s">
        <v>372</v>
      </c>
      <c r="Q62" s="15"/>
    </row>
    <row r="63" customFormat="false" ht="35.05" hidden="false" customHeight="false" outlineLevel="0" collapsed="false">
      <c r="A63" s="15" t="s">
        <v>373</v>
      </c>
      <c r="B63" s="17" t="s">
        <v>374</v>
      </c>
      <c r="C63" s="15" t="n">
        <v>3</v>
      </c>
      <c r="D63" s="15" t="n">
        <f aca="false">IF(Q63="Sí",0,C63*Reglas!$C$5)</f>
        <v>60</v>
      </c>
      <c r="E63" s="14" t="s">
        <v>101</v>
      </c>
      <c r="F63" s="14" t="s">
        <v>325</v>
      </c>
      <c r="G63" s="15" t="s">
        <v>102</v>
      </c>
      <c r="H63" s="14" t="s">
        <v>361</v>
      </c>
      <c r="I63" s="14" t="s">
        <v>128</v>
      </c>
      <c r="J63" s="14" t="s">
        <v>375</v>
      </c>
      <c r="K63" s="14" t="s">
        <v>376</v>
      </c>
      <c r="L63" s="15" t="n">
        <f aca="false">IF(C63=1,0,CHOOSE(C63-1,Reglas!$C$6,Reglas!$C$7,Reglas!$C$8,Reglas!$C$9))</f>
        <v>5</v>
      </c>
      <c r="M63" s="16" t="s">
        <v>70</v>
      </c>
      <c r="N63" s="16" t="n">
        <v>3</v>
      </c>
      <c r="O63" s="16" t="s">
        <v>71</v>
      </c>
      <c r="P63" s="14" t="s">
        <v>377</v>
      </c>
      <c r="Q63" s="15"/>
    </row>
    <row r="64" customFormat="false" ht="23.85" hidden="false" customHeight="false" outlineLevel="0" collapsed="false">
      <c r="A64" s="15" t="s">
        <v>378</v>
      </c>
      <c r="B64" s="17" t="s">
        <v>379</v>
      </c>
      <c r="C64" s="15" t="n">
        <v>3</v>
      </c>
      <c r="D64" s="15" t="n">
        <f aca="false">IF(Q64="Sí",0,C64*Reglas!$C$5)</f>
        <v>60</v>
      </c>
      <c r="E64" s="14" t="s">
        <v>64</v>
      </c>
      <c r="F64" s="14" t="s">
        <v>325</v>
      </c>
      <c r="G64" s="15" t="s">
        <v>102</v>
      </c>
      <c r="H64" s="14" t="s">
        <v>325</v>
      </c>
      <c r="I64" s="14" t="s">
        <v>380</v>
      </c>
      <c r="J64" s="14" t="s">
        <v>381</v>
      </c>
      <c r="K64" s="14" t="s">
        <v>341</v>
      </c>
      <c r="L64" s="15" t="n">
        <f aca="false">IF(C64=1,0,CHOOSE(C64-1,Reglas!$C$6,Reglas!$C$7,Reglas!$C$8,Reglas!$C$9))</f>
        <v>5</v>
      </c>
      <c r="M64" s="16" t="s">
        <v>70</v>
      </c>
      <c r="N64" s="16" t="n">
        <v>3</v>
      </c>
      <c r="O64" s="16" t="s">
        <v>71</v>
      </c>
      <c r="P64" s="14" t="s">
        <v>382</v>
      </c>
      <c r="Q64" s="15"/>
    </row>
    <row r="65" customFormat="false" ht="23.85" hidden="false" customHeight="false" outlineLevel="0" collapsed="false">
      <c r="A65" s="15" t="s">
        <v>383</v>
      </c>
      <c r="B65" s="17" t="s">
        <v>384</v>
      </c>
      <c r="C65" s="15" t="n">
        <v>3</v>
      </c>
      <c r="D65" s="15" t="n">
        <f aca="false">IF(Q65="Sí",0,C65*Reglas!$C$5)</f>
        <v>60</v>
      </c>
      <c r="E65" s="14" t="s">
        <v>64</v>
      </c>
      <c r="F65" s="14" t="s">
        <v>325</v>
      </c>
      <c r="G65" s="15" t="s">
        <v>102</v>
      </c>
      <c r="H65" s="14" t="s">
        <v>325</v>
      </c>
      <c r="I65" s="14" t="s">
        <v>355</v>
      </c>
      <c r="J65" s="14" t="s">
        <v>385</v>
      </c>
      <c r="K65" s="14" t="s">
        <v>386</v>
      </c>
      <c r="L65" s="15" t="n">
        <f aca="false">IF(C65=1,0,CHOOSE(C65-1,Reglas!$C$6,Reglas!$C$7,Reglas!$C$8,Reglas!$C$9))</f>
        <v>5</v>
      </c>
      <c r="M65" s="16" t="s">
        <v>70</v>
      </c>
      <c r="N65" s="16" t="n">
        <v>3</v>
      </c>
      <c r="O65" s="16" t="s">
        <v>124</v>
      </c>
      <c r="P65" s="14" t="s">
        <v>387</v>
      </c>
      <c r="Q65" s="15"/>
    </row>
    <row r="66" customFormat="false" ht="23.85" hidden="false" customHeight="false" outlineLevel="0" collapsed="false">
      <c r="A66" s="15" t="s">
        <v>388</v>
      </c>
      <c r="B66" s="17" t="s">
        <v>389</v>
      </c>
      <c r="C66" s="15" t="n">
        <v>3</v>
      </c>
      <c r="D66" s="15" t="n">
        <f aca="false">IF(Q66="Sí",0,C66*Reglas!$C$5)</f>
        <v>60</v>
      </c>
      <c r="E66" s="14" t="s">
        <v>64</v>
      </c>
      <c r="F66" s="14" t="s">
        <v>325</v>
      </c>
      <c r="G66" s="15" t="s">
        <v>102</v>
      </c>
      <c r="H66" s="14" t="s">
        <v>121</v>
      </c>
      <c r="I66" s="14" t="s">
        <v>122</v>
      </c>
      <c r="J66" s="14" t="s">
        <v>390</v>
      </c>
      <c r="K66" s="14" t="s">
        <v>332</v>
      </c>
      <c r="L66" s="15" t="n">
        <f aca="false">IF(C66=1,0,CHOOSE(C66-1,Reglas!$C$6,Reglas!$C$7,Reglas!$C$8,Reglas!$C$9))</f>
        <v>5</v>
      </c>
      <c r="M66" s="16" t="s">
        <v>70</v>
      </c>
      <c r="N66" s="16" t="n">
        <v>3</v>
      </c>
      <c r="O66" s="16" t="s">
        <v>155</v>
      </c>
      <c r="P66" s="14" t="s">
        <v>391</v>
      </c>
      <c r="Q66" s="15"/>
    </row>
    <row r="67" customFormat="false" ht="23.85" hidden="false" customHeight="false" outlineLevel="0" collapsed="false">
      <c r="A67" s="15" t="s">
        <v>392</v>
      </c>
      <c r="B67" s="17" t="s">
        <v>393</v>
      </c>
      <c r="C67" s="15" t="n">
        <v>3</v>
      </c>
      <c r="D67" s="15" t="n">
        <f aca="false">IF(Q67="Sí",0,C67*Reglas!$C$5)</f>
        <v>60</v>
      </c>
      <c r="E67" s="14" t="s">
        <v>64</v>
      </c>
      <c r="F67" s="14" t="s">
        <v>325</v>
      </c>
      <c r="G67" s="15" t="s">
        <v>102</v>
      </c>
      <c r="H67" s="14" t="s">
        <v>121</v>
      </c>
      <c r="I67" s="14" t="s">
        <v>370</v>
      </c>
      <c r="J67" s="14" t="s">
        <v>394</v>
      </c>
      <c r="K67" s="14" t="s">
        <v>395</v>
      </c>
      <c r="L67" s="15" t="n">
        <f aca="false">IF(C67=1,0,CHOOSE(C67-1,Reglas!$C$6,Reglas!$C$7,Reglas!$C$8,Reglas!$C$9))</f>
        <v>5</v>
      </c>
      <c r="M67" s="16" t="s">
        <v>70</v>
      </c>
      <c r="N67" s="16" t="n">
        <v>3</v>
      </c>
      <c r="O67" s="16" t="s">
        <v>71</v>
      </c>
      <c r="P67" s="14" t="s">
        <v>396</v>
      </c>
      <c r="Q67" s="15"/>
    </row>
    <row r="68" customFormat="false" ht="15" hidden="false" customHeight="false" outlineLevel="0" collapsed="false">
      <c r="A68" s="15" t="s">
        <v>397</v>
      </c>
      <c r="B68" s="17" t="s">
        <v>398</v>
      </c>
      <c r="C68" s="15" t="n">
        <v>4</v>
      </c>
      <c r="D68" s="15" t="n">
        <f aca="false">IF(Q68="Sí",0,C68*Reglas!$C$5)</f>
        <v>80</v>
      </c>
      <c r="E68" s="14" t="s">
        <v>101</v>
      </c>
      <c r="F68" s="14" t="s">
        <v>325</v>
      </c>
      <c r="G68" s="15" t="s">
        <v>102</v>
      </c>
      <c r="H68" s="14" t="s">
        <v>361</v>
      </c>
      <c r="I68" s="14" t="s">
        <v>111</v>
      </c>
      <c r="J68" s="14" t="s">
        <v>399</v>
      </c>
      <c r="K68" s="14" t="s">
        <v>400</v>
      </c>
      <c r="L68" s="15" t="n">
        <f aca="false">IF(C68=1,0,CHOOSE(C68-1,Reglas!$C$6,Reglas!$C$7,Reglas!$C$8,Reglas!$C$9))</f>
        <v>6</v>
      </c>
      <c r="M68" s="16" t="s">
        <v>70</v>
      </c>
      <c r="N68" s="16" t="n">
        <v>4</v>
      </c>
      <c r="O68" s="16" t="s">
        <v>124</v>
      </c>
      <c r="P68" s="14" t="s">
        <v>401</v>
      </c>
      <c r="Q68" s="15"/>
    </row>
    <row r="69" customFormat="false" ht="15" hidden="false" customHeight="false" outlineLevel="0" collapsed="false">
      <c r="A69" s="15" t="s">
        <v>402</v>
      </c>
      <c r="B69" s="17" t="s">
        <v>403</v>
      </c>
      <c r="C69" s="15" t="n">
        <v>4</v>
      </c>
      <c r="D69" s="15" t="n">
        <f aca="false">IF(Q69="Sí",0,C69*Reglas!$C$5)</f>
        <v>80</v>
      </c>
      <c r="E69" s="14" t="s">
        <v>64</v>
      </c>
      <c r="F69" s="14" t="s">
        <v>325</v>
      </c>
      <c r="G69" s="15" t="s">
        <v>102</v>
      </c>
      <c r="H69" s="14" t="s">
        <v>325</v>
      </c>
      <c r="I69" s="14" t="s">
        <v>370</v>
      </c>
      <c r="J69" s="14" t="s">
        <v>404</v>
      </c>
      <c r="K69" s="14" t="s">
        <v>395</v>
      </c>
      <c r="L69" s="15" t="n">
        <f aca="false">IF(C69=1,0,CHOOSE(C69-1,Reglas!$C$6,Reglas!$C$7,Reglas!$C$8,Reglas!$C$9))</f>
        <v>6</v>
      </c>
      <c r="M69" s="16" t="s">
        <v>70</v>
      </c>
      <c r="N69" s="16" t="n">
        <v>4</v>
      </c>
      <c r="O69" s="16" t="s">
        <v>71</v>
      </c>
      <c r="P69" s="14" t="s">
        <v>405</v>
      </c>
      <c r="Q69" s="15"/>
    </row>
    <row r="70" customFormat="false" ht="23.85" hidden="false" customHeight="false" outlineLevel="0" collapsed="false">
      <c r="A70" s="15" t="s">
        <v>406</v>
      </c>
      <c r="B70" s="17" t="s">
        <v>407</v>
      </c>
      <c r="C70" s="15" t="n">
        <v>4</v>
      </c>
      <c r="D70" s="15" t="n">
        <f aca="false">IF(Q70="Sí",0,C70*Reglas!$C$5)</f>
        <v>80</v>
      </c>
      <c r="E70" s="14" t="s">
        <v>64</v>
      </c>
      <c r="F70" s="14" t="s">
        <v>325</v>
      </c>
      <c r="G70" s="15" t="s">
        <v>102</v>
      </c>
      <c r="H70" s="14" t="s">
        <v>121</v>
      </c>
      <c r="I70" s="14" t="s">
        <v>370</v>
      </c>
      <c r="J70" s="14" t="s">
        <v>408</v>
      </c>
      <c r="K70" s="14" t="s">
        <v>409</v>
      </c>
      <c r="L70" s="15" t="n">
        <f aca="false">IF(C70=1,0,CHOOSE(C70-1,Reglas!$C$6,Reglas!$C$7,Reglas!$C$8,Reglas!$C$9))</f>
        <v>6</v>
      </c>
      <c r="M70" s="16" t="s">
        <v>70</v>
      </c>
      <c r="N70" s="16" t="n">
        <v>3</v>
      </c>
      <c r="O70" s="16" t="s">
        <v>71</v>
      </c>
      <c r="P70" s="14" t="s">
        <v>410</v>
      </c>
      <c r="Q70" s="15"/>
    </row>
    <row r="71" customFormat="false" ht="15" hidden="false" customHeight="false" outlineLevel="0" collapsed="false">
      <c r="A71" s="15" t="s">
        <v>411</v>
      </c>
      <c r="B71" s="17" t="s">
        <v>412</v>
      </c>
      <c r="C71" s="15" t="n">
        <v>4</v>
      </c>
      <c r="D71" s="15" t="n">
        <f aca="false">IF(Q71="Sí",0,C71*Reglas!$C$5)</f>
        <v>80</v>
      </c>
      <c r="E71" s="14" t="s">
        <v>64</v>
      </c>
      <c r="F71" s="14" t="s">
        <v>325</v>
      </c>
      <c r="G71" s="15" t="s">
        <v>102</v>
      </c>
      <c r="H71" s="14" t="s">
        <v>121</v>
      </c>
      <c r="I71" s="14" t="s">
        <v>370</v>
      </c>
      <c r="J71" s="14" t="s">
        <v>413</v>
      </c>
      <c r="K71" s="14" t="s">
        <v>409</v>
      </c>
      <c r="L71" s="15" t="n">
        <f aca="false">IF(C71=1,0,CHOOSE(C71-1,Reglas!$C$6,Reglas!$C$7,Reglas!$C$8,Reglas!$C$9))</f>
        <v>6</v>
      </c>
      <c r="M71" s="16" t="s">
        <v>70</v>
      </c>
      <c r="N71" s="16" t="n">
        <v>3</v>
      </c>
      <c r="O71" s="16" t="s">
        <v>71</v>
      </c>
      <c r="P71" s="14" t="s">
        <v>414</v>
      </c>
      <c r="Q71" s="15"/>
    </row>
    <row r="72" customFormat="false" ht="23.85" hidden="false" customHeight="false" outlineLevel="0" collapsed="false">
      <c r="A72" s="15" t="s">
        <v>415</v>
      </c>
      <c r="B72" s="17" t="s">
        <v>416</v>
      </c>
      <c r="C72" s="15" t="n">
        <v>5</v>
      </c>
      <c r="D72" s="15" t="n">
        <f aca="false">IF(Q72="Sí",0,C72*Reglas!$C$5)</f>
        <v>100</v>
      </c>
      <c r="E72" s="14" t="s">
        <v>101</v>
      </c>
      <c r="F72" s="14" t="s">
        <v>325</v>
      </c>
      <c r="G72" s="15" t="s">
        <v>102</v>
      </c>
      <c r="H72" s="14" t="s">
        <v>361</v>
      </c>
      <c r="I72" s="14" t="s">
        <v>111</v>
      </c>
      <c r="J72" s="14" t="s">
        <v>417</v>
      </c>
      <c r="K72" s="14" t="s">
        <v>418</v>
      </c>
      <c r="L72" s="15" t="n">
        <f aca="false">IF(C72=1,0,CHOOSE(C72-1,Reglas!$C$6,Reglas!$C$7,Reglas!$C$8,Reglas!$C$9))</f>
        <v>6</v>
      </c>
      <c r="M72" s="16" t="s">
        <v>70</v>
      </c>
      <c r="N72" s="16" t="n">
        <v>3</v>
      </c>
      <c r="O72" s="16" t="s">
        <v>155</v>
      </c>
      <c r="P72" s="14" t="s">
        <v>419</v>
      </c>
      <c r="Q72" s="15"/>
    </row>
    <row r="73" customFormat="false" ht="15" hidden="false" customHeight="false" outlineLevel="0" collapsed="false">
      <c r="A73" s="15" t="s">
        <v>420</v>
      </c>
      <c r="B73" s="17" t="s">
        <v>421</v>
      </c>
      <c r="C73" s="15" t="n">
        <v>5</v>
      </c>
      <c r="D73" s="15" t="n">
        <f aca="false">IF(Q73="Sí",0,C73*Reglas!$C$5)</f>
        <v>100</v>
      </c>
      <c r="E73" s="14" t="s">
        <v>64</v>
      </c>
      <c r="F73" s="14" t="s">
        <v>325</v>
      </c>
      <c r="G73" s="15" t="s">
        <v>102</v>
      </c>
      <c r="H73" s="14" t="s">
        <v>325</v>
      </c>
      <c r="I73" s="14" t="s">
        <v>370</v>
      </c>
      <c r="J73" s="14" t="s">
        <v>422</v>
      </c>
      <c r="K73" s="14" t="s">
        <v>423</v>
      </c>
      <c r="L73" s="15" t="n">
        <f aca="false">IF(C73=1,0,CHOOSE(C73-1,Reglas!$C$6,Reglas!$C$7,Reglas!$C$8,Reglas!$C$9))</f>
        <v>6</v>
      </c>
      <c r="M73" s="16" t="s">
        <v>70</v>
      </c>
      <c r="N73" s="16" t="n">
        <v>4</v>
      </c>
      <c r="O73" s="16" t="s">
        <v>71</v>
      </c>
      <c r="P73" s="14" t="s">
        <v>424</v>
      </c>
      <c r="Q73" s="15"/>
    </row>
    <row r="74" customFormat="false" ht="23.85" hidden="false" customHeight="false" outlineLevel="0" collapsed="false">
      <c r="A74" s="12" t="s">
        <v>425</v>
      </c>
      <c r="B74" s="13" t="s">
        <v>426</v>
      </c>
      <c r="C74" s="12" t="n">
        <v>1</v>
      </c>
      <c r="D74" s="12" t="n">
        <f aca="false">IF(Q74="Sí",0,C74*Reglas!$C$5)</f>
        <v>0</v>
      </c>
      <c r="E74" s="14" t="s">
        <v>101</v>
      </c>
      <c r="F74" s="14" t="s">
        <v>427</v>
      </c>
      <c r="G74" s="12" t="s">
        <v>66</v>
      </c>
      <c r="H74" s="14" t="s">
        <v>428</v>
      </c>
      <c r="I74" s="14" t="s">
        <v>104</v>
      </c>
      <c r="J74" s="14" t="s">
        <v>429</v>
      </c>
      <c r="K74" s="14" t="s">
        <v>69</v>
      </c>
      <c r="L74" s="15" t="n">
        <f aca="false">IF(C74=1,0,CHOOSE(C74-1,Reglas!$C$6,Reglas!$C$7,Reglas!$C$8,Reglas!$C$9))</f>
        <v>0</v>
      </c>
      <c r="M74" s="16" t="s">
        <v>106</v>
      </c>
      <c r="N74" s="16" t="n">
        <v>5</v>
      </c>
      <c r="O74" s="16" t="s">
        <v>71</v>
      </c>
      <c r="P74" s="14" t="s">
        <v>430</v>
      </c>
      <c r="Q74" s="15" t="s">
        <v>108</v>
      </c>
    </row>
    <row r="75" customFormat="false" ht="23.85" hidden="false" customHeight="false" outlineLevel="0" collapsed="false">
      <c r="A75" s="12" t="s">
        <v>431</v>
      </c>
      <c r="B75" s="13" t="s">
        <v>432</v>
      </c>
      <c r="C75" s="12" t="n">
        <v>1</v>
      </c>
      <c r="D75" s="12" t="n">
        <f aca="false">IF(Q75="Sí",0,C75*Reglas!$C$5)</f>
        <v>0</v>
      </c>
      <c r="E75" s="14" t="s">
        <v>101</v>
      </c>
      <c r="F75" s="14" t="s">
        <v>427</v>
      </c>
      <c r="G75" s="12" t="s">
        <v>66</v>
      </c>
      <c r="H75" s="14" t="s">
        <v>433</v>
      </c>
      <c r="I75" s="14" t="s">
        <v>104</v>
      </c>
      <c r="J75" s="14" t="s">
        <v>434</v>
      </c>
      <c r="K75" s="14" t="s">
        <v>69</v>
      </c>
      <c r="L75" s="15" t="n">
        <f aca="false">IF(C75=1,0,CHOOSE(C75-1,Reglas!$C$6,Reglas!$C$7,Reglas!$C$8,Reglas!$C$9))</f>
        <v>0</v>
      </c>
      <c r="M75" s="16" t="s">
        <v>106</v>
      </c>
      <c r="N75" s="16" t="n">
        <v>5</v>
      </c>
      <c r="O75" s="16" t="s">
        <v>71</v>
      </c>
      <c r="P75" s="14" t="s">
        <v>435</v>
      </c>
      <c r="Q75" s="15" t="s">
        <v>108</v>
      </c>
    </row>
    <row r="76" customFormat="false" ht="23.85" hidden="false" customHeight="false" outlineLevel="0" collapsed="false">
      <c r="A76" s="12" t="s">
        <v>436</v>
      </c>
      <c r="B76" s="13" t="s">
        <v>437</v>
      </c>
      <c r="C76" s="12" t="n">
        <v>2</v>
      </c>
      <c r="D76" s="12" t="n">
        <f aca="false">IF(Q76="Sí",0,C76*Reglas!$C$5)</f>
        <v>40</v>
      </c>
      <c r="E76" s="14" t="s">
        <v>101</v>
      </c>
      <c r="F76" s="14" t="s">
        <v>427</v>
      </c>
      <c r="G76" s="12" t="s">
        <v>66</v>
      </c>
      <c r="H76" s="14" t="s">
        <v>433</v>
      </c>
      <c r="I76" s="14" t="s">
        <v>128</v>
      </c>
      <c r="J76" s="14" t="s">
        <v>438</v>
      </c>
      <c r="K76" s="14" t="s">
        <v>439</v>
      </c>
      <c r="L76" s="15" t="n">
        <f aca="false">IF(C76=1,0,CHOOSE(C76-1,Reglas!$C$6,Reglas!$C$7,Reglas!$C$8,Reglas!$C$9))</f>
        <v>3</v>
      </c>
      <c r="M76" s="16" t="s">
        <v>106</v>
      </c>
      <c r="N76" s="16" t="n">
        <v>4</v>
      </c>
      <c r="O76" s="16" t="s">
        <v>124</v>
      </c>
      <c r="P76" s="14" t="s">
        <v>440</v>
      </c>
      <c r="Q76" s="15"/>
    </row>
    <row r="77" customFormat="false" ht="23.85" hidden="false" customHeight="false" outlineLevel="0" collapsed="false">
      <c r="A77" s="12" t="s">
        <v>441</v>
      </c>
      <c r="B77" s="13" t="s">
        <v>442</v>
      </c>
      <c r="C77" s="12" t="n">
        <v>3</v>
      </c>
      <c r="D77" s="12" t="n">
        <f aca="false">IF(Q77="Sí",0,C77*Reglas!$C$5)</f>
        <v>60</v>
      </c>
      <c r="E77" s="14" t="s">
        <v>101</v>
      </c>
      <c r="F77" s="14" t="s">
        <v>427</v>
      </c>
      <c r="G77" s="12" t="s">
        <v>66</v>
      </c>
      <c r="H77" s="14" t="s">
        <v>433</v>
      </c>
      <c r="I77" s="14" t="s">
        <v>111</v>
      </c>
      <c r="J77" s="14" t="s">
        <v>443</v>
      </c>
      <c r="K77" s="14" t="s">
        <v>444</v>
      </c>
      <c r="L77" s="15" t="n">
        <f aca="false">IF(C77=1,0,CHOOSE(C77-1,Reglas!$C$6,Reglas!$C$7,Reglas!$C$8,Reglas!$C$9))</f>
        <v>5</v>
      </c>
      <c r="M77" s="16" t="s">
        <v>106</v>
      </c>
      <c r="N77" s="16" t="n">
        <v>5</v>
      </c>
      <c r="O77" s="16" t="s">
        <v>124</v>
      </c>
      <c r="P77" s="14" t="s">
        <v>445</v>
      </c>
      <c r="Q77" s="15"/>
    </row>
    <row r="78" customFormat="false" ht="23.85" hidden="false" customHeight="false" outlineLevel="0" collapsed="false">
      <c r="A78" s="12" t="s">
        <v>446</v>
      </c>
      <c r="B78" s="13" t="s">
        <v>447</v>
      </c>
      <c r="C78" s="12" t="n">
        <v>4</v>
      </c>
      <c r="D78" s="12" t="n">
        <f aca="false">IF(Q78="Sí",0,C78*Reglas!$C$5)</f>
        <v>80</v>
      </c>
      <c r="E78" s="14" t="s">
        <v>101</v>
      </c>
      <c r="F78" s="14" t="s">
        <v>427</v>
      </c>
      <c r="G78" s="12" t="s">
        <v>66</v>
      </c>
      <c r="H78" s="14" t="s">
        <v>433</v>
      </c>
      <c r="I78" s="14" t="s">
        <v>128</v>
      </c>
      <c r="J78" s="14" t="s">
        <v>448</v>
      </c>
      <c r="K78" s="14" t="s">
        <v>449</v>
      </c>
      <c r="L78" s="15" t="n">
        <f aca="false">IF(C78=1,0,CHOOSE(C78-1,Reglas!$C$6,Reglas!$C$7,Reglas!$C$8,Reglas!$C$9))</f>
        <v>6</v>
      </c>
      <c r="M78" s="16" t="s">
        <v>106</v>
      </c>
      <c r="N78" s="16" t="n">
        <v>4</v>
      </c>
      <c r="O78" s="16" t="s">
        <v>124</v>
      </c>
      <c r="P78" s="14" t="s">
        <v>450</v>
      </c>
      <c r="Q78" s="15"/>
    </row>
    <row r="79" customFormat="false" ht="23.85" hidden="false" customHeight="false" outlineLevel="0" collapsed="false">
      <c r="A79" s="12" t="s">
        <v>451</v>
      </c>
      <c r="B79" s="13" t="s">
        <v>452</v>
      </c>
      <c r="C79" s="12" t="n">
        <v>5</v>
      </c>
      <c r="D79" s="12" t="n">
        <f aca="false">IF(Q79="Sí",0,C79*Reglas!$C$5)</f>
        <v>100</v>
      </c>
      <c r="E79" s="14" t="s">
        <v>101</v>
      </c>
      <c r="F79" s="14" t="s">
        <v>427</v>
      </c>
      <c r="G79" s="12" t="s">
        <v>66</v>
      </c>
      <c r="H79" s="14" t="s">
        <v>433</v>
      </c>
      <c r="I79" s="14" t="s">
        <v>111</v>
      </c>
      <c r="J79" s="14" t="s">
        <v>453</v>
      </c>
      <c r="K79" s="14" t="s">
        <v>454</v>
      </c>
      <c r="L79" s="15" t="n">
        <f aca="false">IF(C79=1,0,CHOOSE(C79-1,Reglas!$C$6,Reglas!$C$7,Reglas!$C$8,Reglas!$C$9))</f>
        <v>6</v>
      </c>
      <c r="M79" s="16" t="s">
        <v>106</v>
      </c>
      <c r="N79" s="16" t="n">
        <v>4</v>
      </c>
      <c r="O79" s="16" t="s">
        <v>155</v>
      </c>
      <c r="P79" s="14" t="s">
        <v>455</v>
      </c>
      <c r="Q79" s="15"/>
    </row>
    <row r="80" customFormat="false" ht="23.85" hidden="false" customHeight="false" outlineLevel="0" collapsed="false">
      <c r="A80" s="15" t="s">
        <v>456</v>
      </c>
      <c r="B80" s="17" t="s">
        <v>457</v>
      </c>
      <c r="C80" s="15" t="n">
        <v>2</v>
      </c>
      <c r="D80" s="15" t="n">
        <f aca="false">IF(Q80="Sí",0,C80*Reglas!$C$5)</f>
        <v>40</v>
      </c>
      <c r="E80" s="14" t="s">
        <v>101</v>
      </c>
      <c r="F80" s="14" t="s">
        <v>427</v>
      </c>
      <c r="G80" s="15" t="s">
        <v>102</v>
      </c>
      <c r="H80" s="14" t="s">
        <v>428</v>
      </c>
      <c r="I80" s="14" t="s">
        <v>128</v>
      </c>
      <c r="J80" s="14" t="s">
        <v>458</v>
      </c>
      <c r="K80" s="14" t="s">
        <v>459</v>
      </c>
      <c r="L80" s="15" t="n">
        <f aca="false">IF(C80=1,0,CHOOSE(C80-1,Reglas!$C$6,Reglas!$C$7,Reglas!$C$8,Reglas!$C$9))</f>
        <v>3</v>
      </c>
      <c r="M80" s="16" t="s">
        <v>106</v>
      </c>
      <c r="N80" s="16" t="n">
        <v>4</v>
      </c>
      <c r="O80" s="16" t="s">
        <v>71</v>
      </c>
      <c r="P80" s="14" t="s">
        <v>460</v>
      </c>
      <c r="Q80" s="15"/>
    </row>
    <row r="81" customFormat="false" ht="15" hidden="false" customHeight="false" outlineLevel="0" collapsed="false">
      <c r="A81" s="15" t="s">
        <v>461</v>
      </c>
      <c r="B81" s="17" t="s">
        <v>462</v>
      </c>
      <c r="C81" s="15" t="n">
        <v>2</v>
      </c>
      <c r="D81" s="15" t="n">
        <f aca="false">IF(Q81="Sí",0,C81*Reglas!$C$5)</f>
        <v>40</v>
      </c>
      <c r="E81" s="14" t="s">
        <v>101</v>
      </c>
      <c r="F81" s="14" t="s">
        <v>427</v>
      </c>
      <c r="G81" s="15" t="s">
        <v>102</v>
      </c>
      <c r="H81" s="14" t="s">
        <v>428</v>
      </c>
      <c r="I81" s="14" t="s">
        <v>128</v>
      </c>
      <c r="J81" s="14" t="s">
        <v>463</v>
      </c>
      <c r="K81" s="14" t="s">
        <v>459</v>
      </c>
      <c r="L81" s="15" t="n">
        <f aca="false">IF(C81=1,0,CHOOSE(C81-1,Reglas!$C$6,Reglas!$C$7,Reglas!$C$8,Reglas!$C$9))</f>
        <v>3</v>
      </c>
      <c r="M81" s="16" t="s">
        <v>106</v>
      </c>
      <c r="N81" s="16" t="n">
        <v>4</v>
      </c>
      <c r="O81" s="16" t="s">
        <v>71</v>
      </c>
      <c r="P81" s="14" t="s">
        <v>464</v>
      </c>
      <c r="Q81" s="15"/>
    </row>
    <row r="82" customFormat="false" ht="23.85" hidden="false" customHeight="false" outlineLevel="0" collapsed="false">
      <c r="A82" s="15" t="s">
        <v>465</v>
      </c>
      <c r="B82" s="17" t="s">
        <v>466</v>
      </c>
      <c r="C82" s="15" t="n">
        <v>2</v>
      </c>
      <c r="D82" s="15" t="n">
        <f aca="false">IF(Q82="Sí",0,C82*Reglas!$C$5)</f>
        <v>40</v>
      </c>
      <c r="E82" s="14" t="s">
        <v>101</v>
      </c>
      <c r="F82" s="14" t="s">
        <v>427</v>
      </c>
      <c r="G82" s="15" t="s">
        <v>102</v>
      </c>
      <c r="H82" s="14" t="s">
        <v>428</v>
      </c>
      <c r="I82" s="14" t="s">
        <v>111</v>
      </c>
      <c r="J82" s="14" t="s">
        <v>467</v>
      </c>
      <c r="K82" s="14" t="s">
        <v>459</v>
      </c>
      <c r="L82" s="15" t="n">
        <f aca="false">IF(C82=1,0,CHOOSE(C82-1,Reglas!$C$6,Reglas!$C$7,Reglas!$C$8,Reglas!$C$9))</f>
        <v>3</v>
      </c>
      <c r="M82" s="16" t="s">
        <v>106</v>
      </c>
      <c r="N82" s="16" t="n">
        <v>2</v>
      </c>
      <c r="O82" s="16" t="s">
        <v>71</v>
      </c>
      <c r="P82" s="14" t="s">
        <v>468</v>
      </c>
      <c r="Q82" s="15"/>
    </row>
    <row r="83" customFormat="false" ht="23.85" hidden="false" customHeight="false" outlineLevel="0" collapsed="false">
      <c r="A83" s="15" t="s">
        <v>469</v>
      </c>
      <c r="B83" s="17" t="s">
        <v>470</v>
      </c>
      <c r="C83" s="15" t="n">
        <v>2</v>
      </c>
      <c r="D83" s="15" t="n">
        <f aca="false">IF(Q83="Sí",0,C83*Reglas!$C$5)</f>
        <v>40</v>
      </c>
      <c r="E83" s="14" t="s">
        <v>101</v>
      </c>
      <c r="F83" s="14" t="s">
        <v>427</v>
      </c>
      <c r="G83" s="15" t="s">
        <v>102</v>
      </c>
      <c r="H83" s="14" t="s">
        <v>428</v>
      </c>
      <c r="I83" s="14" t="s">
        <v>128</v>
      </c>
      <c r="J83" s="14" t="s">
        <v>471</v>
      </c>
      <c r="K83" s="14" t="s">
        <v>472</v>
      </c>
      <c r="L83" s="15" t="n">
        <f aca="false">IF(C83=1,0,CHOOSE(C83-1,Reglas!$C$6,Reglas!$C$7,Reglas!$C$8,Reglas!$C$9))</f>
        <v>3</v>
      </c>
      <c r="M83" s="16" t="s">
        <v>106</v>
      </c>
      <c r="N83" s="16" t="n">
        <v>4</v>
      </c>
      <c r="O83" s="16" t="s">
        <v>124</v>
      </c>
      <c r="P83" s="14" t="s">
        <v>473</v>
      </c>
      <c r="Q83" s="15"/>
    </row>
    <row r="84" customFormat="false" ht="23.85" hidden="false" customHeight="false" outlineLevel="0" collapsed="false">
      <c r="A84" s="15" t="s">
        <v>474</v>
      </c>
      <c r="B84" s="17" t="s">
        <v>475</v>
      </c>
      <c r="C84" s="15" t="n">
        <v>2</v>
      </c>
      <c r="D84" s="15" t="n">
        <f aca="false">IF(Q84="Sí",0,C84*Reglas!$C$5)</f>
        <v>40</v>
      </c>
      <c r="E84" s="14" t="s">
        <v>101</v>
      </c>
      <c r="F84" s="14" t="s">
        <v>427</v>
      </c>
      <c r="G84" s="15" t="s">
        <v>102</v>
      </c>
      <c r="H84" s="14" t="s">
        <v>433</v>
      </c>
      <c r="I84" s="14" t="s">
        <v>128</v>
      </c>
      <c r="J84" s="14" t="s">
        <v>476</v>
      </c>
      <c r="K84" s="14" t="s">
        <v>439</v>
      </c>
      <c r="L84" s="15" t="n">
        <f aca="false">IF(C84=1,0,CHOOSE(C84-1,Reglas!$C$6,Reglas!$C$7,Reglas!$C$8,Reglas!$C$9))</f>
        <v>3</v>
      </c>
      <c r="M84" s="16" t="s">
        <v>106</v>
      </c>
      <c r="N84" s="16" t="n">
        <v>3</v>
      </c>
      <c r="O84" s="16" t="s">
        <v>71</v>
      </c>
      <c r="P84" s="14" t="s">
        <v>477</v>
      </c>
      <c r="Q84" s="15"/>
    </row>
    <row r="85" customFormat="false" ht="23.85" hidden="false" customHeight="false" outlineLevel="0" collapsed="false">
      <c r="A85" s="15" t="s">
        <v>478</v>
      </c>
      <c r="B85" s="17" t="s">
        <v>479</v>
      </c>
      <c r="C85" s="15" t="n">
        <v>3</v>
      </c>
      <c r="D85" s="15" t="n">
        <f aca="false">IF(Q85="Sí",0,C85*Reglas!$C$5)</f>
        <v>60</v>
      </c>
      <c r="E85" s="14" t="s">
        <v>101</v>
      </c>
      <c r="F85" s="14" t="s">
        <v>427</v>
      </c>
      <c r="G85" s="15" t="s">
        <v>102</v>
      </c>
      <c r="H85" s="14" t="s">
        <v>428</v>
      </c>
      <c r="I85" s="14" t="s">
        <v>128</v>
      </c>
      <c r="J85" s="14" t="s">
        <v>480</v>
      </c>
      <c r="K85" s="14" t="s">
        <v>481</v>
      </c>
      <c r="L85" s="15" t="n">
        <f aca="false">IF(C85=1,0,CHOOSE(C85-1,Reglas!$C$6,Reglas!$C$7,Reglas!$C$8,Reglas!$C$9))</f>
        <v>5</v>
      </c>
      <c r="M85" s="16" t="s">
        <v>106</v>
      </c>
      <c r="N85" s="16" t="n">
        <v>4</v>
      </c>
      <c r="O85" s="16" t="s">
        <v>71</v>
      </c>
      <c r="P85" s="14" t="s">
        <v>482</v>
      </c>
      <c r="Q85" s="15"/>
    </row>
    <row r="86" customFormat="false" ht="23.85" hidden="false" customHeight="false" outlineLevel="0" collapsed="false">
      <c r="A86" s="15" t="s">
        <v>483</v>
      </c>
      <c r="B86" s="17" t="s">
        <v>484</v>
      </c>
      <c r="C86" s="15" t="n">
        <v>3</v>
      </c>
      <c r="D86" s="15" t="n">
        <f aca="false">IF(Q86="Sí",0,C86*Reglas!$C$5)</f>
        <v>60</v>
      </c>
      <c r="E86" s="14" t="s">
        <v>101</v>
      </c>
      <c r="F86" s="14" t="s">
        <v>427</v>
      </c>
      <c r="G86" s="15" t="s">
        <v>102</v>
      </c>
      <c r="H86" s="14" t="s">
        <v>428</v>
      </c>
      <c r="I86" s="14" t="s">
        <v>128</v>
      </c>
      <c r="J86" s="14" t="s">
        <v>485</v>
      </c>
      <c r="K86" s="14" t="s">
        <v>486</v>
      </c>
      <c r="L86" s="15" t="n">
        <f aca="false">IF(C86=1,0,CHOOSE(C86-1,Reglas!$C$6,Reglas!$C$7,Reglas!$C$8,Reglas!$C$9))</f>
        <v>5</v>
      </c>
      <c r="M86" s="16" t="s">
        <v>106</v>
      </c>
      <c r="N86" s="16" t="n">
        <v>4</v>
      </c>
      <c r="O86" s="16" t="s">
        <v>71</v>
      </c>
      <c r="P86" s="14" t="s">
        <v>487</v>
      </c>
      <c r="Q86" s="15"/>
    </row>
    <row r="87" customFormat="false" ht="23.85" hidden="false" customHeight="false" outlineLevel="0" collapsed="false">
      <c r="A87" s="15" t="s">
        <v>488</v>
      </c>
      <c r="B87" s="17" t="s">
        <v>489</v>
      </c>
      <c r="C87" s="15" t="n">
        <v>4</v>
      </c>
      <c r="D87" s="15" t="n">
        <f aca="false">IF(Q87="Sí",0,C87*Reglas!$C$5)</f>
        <v>80</v>
      </c>
      <c r="E87" s="14" t="s">
        <v>101</v>
      </c>
      <c r="F87" s="14" t="s">
        <v>427</v>
      </c>
      <c r="G87" s="15" t="s">
        <v>102</v>
      </c>
      <c r="H87" s="14" t="s">
        <v>428</v>
      </c>
      <c r="I87" s="14" t="s">
        <v>128</v>
      </c>
      <c r="J87" s="14" t="s">
        <v>490</v>
      </c>
      <c r="K87" s="14" t="s">
        <v>491</v>
      </c>
      <c r="L87" s="15" t="n">
        <f aca="false">IF(C87=1,0,CHOOSE(C87-1,Reglas!$C$6,Reglas!$C$7,Reglas!$C$8,Reglas!$C$9))</f>
        <v>6</v>
      </c>
      <c r="M87" s="16" t="s">
        <v>106</v>
      </c>
      <c r="N87" s="16" t="n">
        <v>3</v>
      </c>
      <c r="O87" s="16" t="s">
        <v>124</v>
      </c>
      <c r="P87" s="14" t="s">
        <v>492</v>
      </c>
      <c r="Q87" s="15"/>
    </row>
    <row r="88" customFormat="false" ht="23.85" hidden="false" customHeight="false" outlineLevel="0" collapsed="false">
      <c r="A88" s="15" t="s">
        <v>493</v>
      </c>
      <c r="B88" s="17" t="s">
        <v>494</v>
      </c>
      <c r="C88" s="15" t="n">
        <v>4</v>
      </c>
      <c r="D88" s="15" t="n">
        <f aca="false">IF(Q88="Sí",0,C88*Reglas!$C$5)</f>
        <v>80</v>
      </c>
      <c r="E88" s="14" t="s">
        <v>101</v>
      </c>
      <c r="F88" s="14" t="s">
        <v>427</v>
      </c>
      <c r="G88" s="15" t="s">
        <v>102</v>
      </c>
      <c r="H88" s="14" t="s">
        <v>428</v>
      </c>
      <c r="I88" s="14" t="s">
        <v>128</v>
      </c>
      <c r="J88" s="14" t="s">
        <v>495</v>
      </c>
      <c r="K88" s="14" t="s">
        <v>496</v>
      </c>
      <c r="L88" s="15" t="n">
        <f aca="false">IF(C88=1,0,CHOOSE(C88-1,Reglas!$C$6,Reglas!$C$7,Reglas!$C$8,Reglas!$C$9))</f>
        <v>6</v>
      </c>
      <c r="M88" s="16" t="s">
        <v>106</v>
      </c>
      <c r="N88" s="16" t="n">
        <v>3</v>
      </c>
      <c r="O88" s="16" t="s">
        <v>124</v>
      </c>
      <c r="P88" s="14" t="s">
        <v>497</v>
      </c>
      <c r="Q88" s="15"/>
    </row>
    <row r="89" customFormat="false" ht="23.85" hidden="false" customHeight="false" outlineLevel="0" collapsed="false">
      <c r="A89" s="15" t="s">
        <v>498</v>
      </c>
      <c r="B89" s="17" t="s">
        <v>499</v>
      </c>
      <c r="C89" s="15" t="n">
        <v>4</v>
      </c>
      <c r="D89" s="15" t="n">
        <f aca="false">IF(Q89="Sí",0,C89*Reglas!$C$5)</f>
        <v>80</v>
      </c>
      <c r="E89" s="14" t="s">
        <v>101</v>
      </c>
      <c r="F89" s="14" t="s">
        <v>427</v>
      </c>
      <c r="G89" s="15" t="s">
        <v>102</v>
      </c>
      <c r="H89" s="14" t="s">
        <v>428</v>
      </c>
      <c r="I89" s="14" t="s">
        <v>128</v>
      </c>
      <c r="J89" s="14" t="s">
        <v>500</v>
      </c>
      <c r="K89" s="14" t="s">
        <v>501</v>
      </c>
      <c r="L89" s="15" t="n">
        <f aca="false">IF(C89=1,0,CHOOSE(C89-1,Reglas!$C$6,Reglas!$C$7,Reglas!$C$8,Reglas!$C$9))</f>
        <v>6</v>
      </c>
      <c r="M89" s="16" t="s">
        <v>106</v>
      </c>
      <c r="N89" s="16" t="n">
        <v>3</v>
      </c>
      <c r="O89" s="16" t="s">
        <v>155</v>
      </c>
      <c r="P89" s="14" t="s">
        <v>502</v>
      </c>
      <c r="Q89" s="15"/>
    </row>
    <row r="90" customFormat="false" ht="23.85" hidden="false" customHeight="false" outlineLevel="0" collapsed="false">
      <c r="A90" s="15" t="s">
        <v>503</v>
      </c>
      <c r="B90" s="17" t="s">
        <v>504</v>
      </c>
      <c r="C90" s="15" t="n">
        <v>4</v>
      </c>
      <c r="D90" s="15" t="n">
        <f aca="false">IF(Q90="Sí",0,C90*Reglas!$C$5)</f>
        <v>80</v>
      </c>
      <c r="E90" s="14" t="s">
        <v>101</v>
      </c>
      <c r="F90" s="14" t="s">
        <v>427</v>
      </c>
      <c r="G90" s="15" t="s">
        <v>102</v>
      </c>
      <c r="H90" s="14" t="s">
        <v>433</v>
      </c>
      <c r="I90" s="14" t="s">
        <v>128</v>
      </c>
      <c r="J90" s="14" t="s">
        <v>505</v>
      </c>
      <c r="K90" s="14" t="s">
        <v>506</v>
      </c>
      <c r="L90" s="15" t="n">
        <f aca="false">IF(C90=1,0,CHOOSE(C90-1,Reglas!$C$6,Reglas!$C$7,Reglas!$C$8,Reglas!$C$9))</f>
        <v>6</v>
      </c>
      <c r="M90" s="16" t="s">
        <v>106</v>
      </c>
      <c r="N90" s="16" t="n">
        <v>3</v>
      </c>
      <c r="O90" s="16" t="s">
        <v>71</v>
      </c>
      <c r="P90" s="14" t="s">
        <v>507</v>
      </c>
      <c r="Q90" s="15"/>
    </row>
    <row r="91" customFormat="false" ht="23.85" hidden="false" customHeight="false" outlineLevel="0" collapsed="false">
      <c r="A91" s="15" t="s">
        <v>508</v>
      </c>
      <c r="B91" s="17" t="s">
        <v>509</v>
      </c>
      <c r="C91" s="15" t="n">
        <v>5</v>
      </c>
      <c r="D91" s="15" t="n">
        <f aca="false">IF(Q91="Sí",0,C91*Reglas!$C$5)</f>
        <v>100</v>
      </c>
      <c r="E91" s="14" t="s">
        <v>101</v>
      </c>
      <c r="F91" s="14" t="s">
        <v>427</v>
      </c>
      <c r="G91" s="15" t="s">
        <v>102</v>
      </c>
      <c r="H91" s="14" t="s">
        <v>428</v>
      </c>
      <c r="I91" s="14" t="s">
        <v>128</v>
      </c>
      <c r="J91" s="14" t="s">
        <v>510</v>
      </c>
      <c r="K91" s="14" t="s">
        <v>511</v>
      </c>
      <c r="L91" s="15" t="n">
        <f aca="false">IF(C91=1,0,CHOOSE(C91-1,Reglas!$C$6,Reglas!$C$7,Reglas!$C$8,Reglas!$C$9))</f>
        <v>6</v>
      </c>
      <c r="M91" s="16" t="s">
        <v>106</v>
      </c>
      <c r="N91" s="16" t="n">
        <v>3</v>
      </c>
      <c r="O91" s="16" t="s">
        <v>155</v>
      </c>
      <c r="P91" s="14" t="s">
        <v>512</v>
      </c>
      <c r="Q91" s="15"/>
    </row>
    <row r="92" customFormat="false" ht="23.85" hidden="false" customHeight="false" outlineLevel="0" collapsed="false">
      <c r="A92" s="15" t="s">
        <v>513</v>
      </c>
      <c r="B92" s="17" t="s">
        <v>514</v>
      </c>
      <c r="C92" s="15" t="n">
        <v>5</v>
      </c>
      <c r="D92" s="15" t="n">
        <f aca="false">IF(Q92="Sí",0,C92*Reglas!$C$5)</f>
        <v>100</v>
      </c>
      <c r="E92" s="14" t="s">
        <v>101</v>
      </c>
      <c r="F92" s="14" t="s">
        <v>427</v>
      </c>
      <c r="G92" s="15" t="s">
        <v>102</v>
      </c>
      <c r="H92" s="14" t="s">
        <v>428</v>
      </c>
      <c r="I92" s="14" t="s">
        <v>128</v>
      </c>
      <c r="J92" s="14" t="s">
        <v>515</v>
      </c>
      <c r="K92" s="14" t="s">
        <v>516</v>
      </c>
      <c r="L92" s="15" t="n">
        <f aca="false">IF(C92=1,0,CHOOSE(C92-1,Reglas!$C$6,Reglas!$C$7,Reglas!$C$8,Reglas!$C$9))</f>
        <v>6</v>
      </c>
      <c r="M92" s="16" t="s">
        <v>106</v>
      </c>
      <c r="N92" s="16" t="n">
        <v>3</v>
      </c>
      <c r="O92" s="16" t="s">
        <v>155</v>
      </c>
      <c r="P92" s="14" t="s">
        <v>517</v>
      </c>
      <c r="Q92" s="15"/>
    </row>
    <row r="93" customFormat="false" ht="15" hidden="false" customHeight="false" outlineLevel="0" collapsed="false">
      <c r="A93" s="12" t="s">
        <v>518</v>
      </c>
      <c r="B93" s="13" t="s">
        <v>519</v>
      </c>
      <c r="C93" s="12" t="n">
        <v>1</v>
      </c>
      <c r="D93" s="12" t="n">
        <f aca="false">IF(Q93="Sí",0,C93*Reglas!$C$5)</f>
        <v>20</v>
      </c>
      <c r="E93" s="14" t="s">
        <v>64</v>
      </c>
      <c r="F93" s="14" t="s">
        <v>520</v>
      </c>
      <c r="G93" s="12" t="s">
        <v>66</v>
      </c>
      <c r="H93" s="14" t="s">
        <v>164</v>
      </c>
      <c r="I93" s="14" t="s">
        <v>164</v>
      </c>
      <c r="J93" s="14" t="s">
        <v>521</v>
      </c>
      <c r="K93" s="14" t="s">
        <v>69</v>
      </c>
      <c r="L93" s="15" t="n">
        <f aca="false">IF(C93=1,0,CHOOSE(C93-1,Reglas!$C$6,Reglas!$C$7,Reglas!$C$8,Reglas!$C$9))</f>
        <v>0</v>
      </c>
      <c r="M93" s="16" t="s">
        <v>70</v>
      </c>
      <c r="N93" s="16" t="n">
        <v>4</v>
      </c>
      <c r="O93" s="16" t="s">
        <v>71</v>
      </c>
      <c r="P93" s="14" t="s">
        <v>522</v>
      </c>
      <c r="Q93" s="15"/>
    </row>
    <row r="94" customFormat="false" ht="15" hidden="false" customHeight="false" outlineLevel="0" collapsed="false">
      <c r="A94" s="12" t="s">
        <v>523</v>
      </c>
      <c r="B94" s="13" t="s">
        <v>524</v>
      </c>
      <c r="C94" s="12" t="n">
        <v>2</v>
      </c>
      <c r="D94" s="12" t="n">
        <f aca="false">IF(Q94="Sí",0,C94*Reglas!$C$5)</f>
        <v>40</v>
      </c>
      <c r="E94" s="14" t="s">
        <v>64</v>
      </c>
      <c r="F94" s="14" t="s">
        <v>520</v>
      </c>
      <c r="G94" s="12" t="s">
        <v>66</v>
      </c>
      <c r="H94" s="14" t="s">
        <v>75</v>
      </c>
      <c r="I94" s="14" t="s">
        <v>76</v>
      </c>
      <c r="J94" s="14" t="s">
        <v>525</v>
      </c>
      <c r="K94" s="14" t="s">
        <v>526</v>
      </c>
      <c r="L94" s="15" t="n">
        <f aca="false">IF(C94=1,0,CHOOSE(C94-1,Reglas!$C$6,Reglas!$C$7,Reglas!$C$8,Reglas!$C$9))</f>
        <v>3</v>
      </c>
      <c r="M94" s="16" t="s">
        <v>70</v>
      </c>
      <c r="N94" s="16" t="n">
        <v>4</v>
      </c>
      <c r="O94" s="16" t="s">
        <v>71</v>
      </c>
      <c r="P94" s="14" t="s">
        <v>527</v>
      </c>
      <c r="Q94" s="15"/>
    </row>
    <row r="95" customFormat="false" ht="23.85" hidden="false" customHeight="false" outlineLevel="0" collapsed="false">
      <c r="A95" s="12" t="s">
        <v>528</v>
      </c>
      <c r="B95" s="13" t="s">
        <v>529</v>
      </c>
      <c r="C95" s="12" t="n">
        <v>3</v>
      </c>
      <c r="D95" s="12" t="n">
        <f aca="false">IF(Q95="Sí",0,C95*Reglas!$C$5)</f>
        <v>60</v>
      </c>
      <c r="E95" s="14" t="s">
        <v>101</v>
      </c>
      <c r="F95" s="14" t="s">
        <v>520</v>
      </c>
      <c r="G95" s="12" t="s">
        <v>66</v>
      </c>
      <c r="H95" s="14" t="s">
        <v>530</v>
      </c>
      <c r="I95" s="14" t="s">
        <v>111</v>
      </c>
      <c r="J95" s="14" t="s">
        <v>531</v>
      </c>
      <c r="K95" s="14" t="s">
        <v>526</v>
      </c>
      <c r="L95" s="15" t="n">
        <f aca="false">IF(C95=1,0,CHOOSE(C95-1,Reglas!$C$6,Reglas!$C$7,Reglas!$C$8,Reglas!$C$9))</f>
        <v>5</v>
      </c>
      <c r="M95" s="16" t="s">
        <v>70</v>
      </c>
      <c r="N95" s="16" t="n">
        <v>5</v>
      </c>
      <c r="O95" s="16" t="s">
        <v>155</v>
      </c>
      <c r="P95" s="14" t="s">
        <v>532</v>
      </c>
      <c r="Q95" s="15"/>
    </row>
    <row r="96" customFormat="false" ht="23.85" hidden="false" customHeight="false" outlineLevel="0" collapsed="false">
      <c r="A96" s="12" t="s">
        <v>533</v>
      </c>
      <c r="B96" s="13" t="s">
        <v>534</v>
      </c>
      <c r="C96" s="12" t="n">
        <v>4</v>
      </c>
      <c r="D96" s="12" t="n">
        <f aca="false">IF(Q96="Sí",0,C96*Reglas!$C$5)</f>
        <v>80</v>
      </c>
      <c r="E96" s="14" t="s">
        <v>64</v>
      </c>
      <c r="F96" s="14" t="s">
        <v>520</v>
      </c>
      <c r="G96" s="12" t="s">
        <v>66</v>
      </c>
      <c r="H96" s="14" t="s">
        <v>75</v>
      </c>
      <c r="I96" s="14" t="s">
        <v>76</v>
      </c>
      <c r="J96" s="14" t="s">
        <v>535</v>
      </c>
      <c r="K96" s="14" t="s">
        <v>536</v>
      </c>
      <c r="L96" s="15" t="n">
        <f aca="false">IF(C96=1,0,CHOOSE(C96-1,Reglas!$C$6,Reglas!$C$7,Reglas!$C$8,Reglas!$C$9))</f>
        <v>6</v>
      </c>
      <c r="M96" s="16" t="s">
        <v>70</v>
      </c>
      <c r="N96" s="16" t="n">
        <v>4</v>
      </c>
      <c r="O96" s="16" t="s">
        <v>71</v>
      </c>
      <c r="P96" s="14" t="s">
        <v>537</v>
      </c>
      <c r="Q96" s="15"/>
    </row>
    <row r="97" customFormat="false" ht="15" hidden="false" customHeight="false" outlineLevel="0" collapsed="false">
      <c r="A97" s="12" t="s">
        <v>538</v>
      </c>
      <c r="B97" s="13" t="s">
        <v>539</v>
      </c>
      <c r="C97" s="12" t="n">
        <v>4</v>
      </c>
      <c r="D97" s="12" t="n">
        <f aca="false">IF(Q97="Sí",0,C97*Reglas!$C$5)</f>
        <v>80</v>
      </c>
      <c r="E97" s="14" t="s">
        <v>101</v>
      </c>
      <c r="F97" s="14" t="s">
        <v>520</v>
      </c>
      <c r="G97" s="12" t="s">
        <v>66</v>
      </c>
      <c r="H97" s="14" t="s">
        <v>530</v>
      </c>
      <c r="I97" s="14" t="s">
        <v>111</v>
      </c>
      <c r="J97" s="14" t="s">
        <v>540</v>
      </c>
      <c r="K97" s="14" t="s">
        <v>541</v>
      </c>
      <c r="L97" s="15" t="n">
        <f aca="false">IF(C97=1,0,CHOOSE(C97-1,Reglas!$C$6,Reglas!$C$7,Reglas!$C$8,Reglas!$C$9))</f>
        <v>6</v>
      </c>
      <c r="M97" s="16" t="s">
        <v>70</v>
      </c>
      <c r="N97" s="16" t="n">
        <v>4</v>
      </c>
      <c r="O97" s="16" t="s">
        <v>124</v>
      </c>
      <c r="P97" s="14" t="s">
        <v>542</v>
      </c>
      <c r="Q97" s="15"/>
    </row>
    <row r="98" customFormat="false" ht="23.85" hidden="false" customHeight="false" outlineLevel="0" collapsed="false">
      <c r="A98" s="12" t="s">
        <v>543</v>
      </c>
      <c r="B98" s="13" t="s">
        <v>544</v>
      </c>
      <c r="C98" s="12" t="n">
        <v>5</v>
      </c>
      <c r="D98" s="12" t="n">
        <f aca="false">IF(Q98="Sí",0,C98*Reglas!$C$5)</f>
        <v>100</v>
      </c>
      <c r="E98" s="14" t="s">
        <v>101</v>
      </c>
      <c r="F98" s="14" t="s">
        <v>520</v>
      </c>
      <c r="G98" s="12" t="s">
        <v>66</v>
      </c>
      <c r="H98" s="14" t="s">
        <v>545</v>
      </c>
      <c r="I98" s="14" t="s">
        <v>104</v>
      </c>
      <c r="J98" s="14" t="s">
        <v>546</v>
      </c>
      <c r="K98" s="14" t="s">
        <v>547</v>
      </c>
      <c r="L98" s="15" t="n">
        <f aca="false">IF(C98=1,0,CHOOSE(C98-1,Reglas!$C$6,Reglas!$C$7,Reglas!$C$8,Reglas!$C$9))</f>
        <v>6</v>
      </c>
      <c r="M98" s="16" t="s">
        <v>106</v>
      </c>
      <c r="N98" s="16" t="n">
        <v>4</v>
      </c>
      <c r="O98" s="16" t="s">
        <v>71</v>
      </c>
      <c r="P98" s="14" t="s">
        <v>548</v>
      </c>
      <c r="Q98" s="15"/>
    </row>
    <row r="99" customFormat="false" ht="23.85" hidden="false" customHeight="false" outlineLevel="0" collapsed="false">
      <c r="A99" s="15" t="s">
        <v>549</v>
      </c>
      <c r="B99" s="17" t="s">
        <v>550</v>
      </c>
      <c r="C99" s="15" t="n">
        <v>3</v>
      </c>
      <c r="D99" s="15" t="n">
        <f aca="false">IF(Q99="Sí",0,C99*Reglas!$C$5)</f>
        <v>60</v>
      </c>
      <c r="E99" s="14" t="s">
        <v>64</v>
      </c>
      <c r="F99" s="14" t="s">
        <v>520</v>
      </c>
      <c r="G99" s="15" t="s">
        <v>102</v>
      </c>
      <c r="H99" s="14" t="s">
        <v>164</v>
      </c>
      <c r="I99" s="14" t="s">
        <v>164</v>
      </c>
      <c r="J99" s="14" t="s">
        <v>551</v>
      </c>
      <c r="K99" s="14" t="s">
        <v>526</v>
      </c>
      <c r="L99" s="15" t="n">
        <f aca="false">IF(C99=1,0,CHOOSE(C99-1,Reglas!$C$6,Reglas!$C$7,Reglas!$C$8,Reglas!$C$9))</f>
        <v>5</v>
      </c>
      <c r="M99" s="16" t="s">
        <v>70</v>
      </c>
      <c r="N99" s="16" t="n">
        <v>3</v>
      </c>
      <c r="O99" s="16" t="s">
        <v>71</v>
      </c>
      <c r="P99" s="14" t="s">
        <v>552</v>
      </c>
      <c r="Q99" s="15"/>
    </row>
    <row r="100" customFormat="false" ht="23.85" hidden="false" customHeight="false" outlineLevel="0" collapsed="false">
      <c r="A100" s="15" t="s">
        <v>553</v>
      </c>
      <c r="B100" s="17" t="s">
        <v>554</v>
      </c>
      <c r="C100" s="15" t="n">
        <v>3</v>
      </c>
      <c r="D100" s="15" t="n">
        <f aca="false">IF(Q100="Sí",0,C100*Reglas!$C$5)</f>
        <v>60</v>
      </c>
      <c r="E100" s="14" t="s">
        <v>64</v>
      </c>
      <c r="F100" s="14" t="s">
        <v>520</v>
      </c>
      <c r="G100" s="15" t="s">
        <v>102</v>
      </c>
      <c r="H100" s="14" t="s">
        <v>121</v>
      </c>
      <c r="I100" s="14" t="s">
        <v>122</v>
      </c>
      <c r="J100" s="14" t="s">
        <v>555</v>
      </c>
      <c r="K100" s="14" t="s">
        <v>179</v>
      </c>
      <c r="L100" s="15" t="n">
        <f aca="false">IF(C100=1,0,CHOOSE(C100-1,Reglas!$C$6,Reglas!$C$7,Reglas!$C$8,Reglas!$C$9))</f>
        <v>5</v>
      </c>
      <c r="M100" s="16" t="s">
        <v>70</v>
      </c>
      <c r="N100" s="16" t="n">
        <v>3</v>
      </c>
      <c r="O100" s="16" t="s">
        <v>124</v>
      </c>
      <c r="P100" s="14" t="s">
        <v>556</v>
      </c>
      <c r="Q100" s="15"/>
    </row>
    <row r="101" customFormat="false" ht="15" hidden="false" customHeight="false" outlineLevel="0" collapsed="false">
      <c r="A101" s="15" t="s">
        <v>557</v>
      </c>
      <c r="B101" s="17" t="s">
        <v>558</v>
      </c>
      <c r="C101" s="15" t="n">
        <v>3</v>
      </c>
      <c r="D101" s="15" t="n">
        <f aca="false">IF(Q101="Sí",0,C101*Reglas!$C$5)</f>
        <v>60</v>
      </c>
      <c r="E101" s="14" t="s">
        <v>101</v>
      </c>
      <c r="F101" s="14" t="s">
        <v>520</v>
      </c>
      <c r="G101" s="15" t="s">
        <v>102</v>
      </c>
      <c r="H101" s="14" t="s">
        <v>530</v>
      </c>
      <c r="I101" s="14" t="s">
        <v>111</v>
      </c>
      <c r="J101" s="14" t="s">
        <v>559</v>
      </c>
      <c r="K101" s="14" t="s">
        <v>179</v>
      </c>
      <c r="L101" s="15" t="n">
        <f aca="false">IF(C101=1,0,CHOOSE(C101-1,Reglas!$C$6,Reglas!$C$7,Reglas!$C$8,Reglas!$C$9))</f>
        <v>5</v>
      </c>
      <c r="M101" s="16" t="s">
        <v>70</v>
      </c>
      <c r="N101" s="16" t="n">
        <v>3</v>
      </c>
      <c r="O101" s="16" t="s">
        <v>71</v>
      </c>
      <c r="P101" s="14" t="s">
        <v>560</v>
      </c>
      <c r="Q101" s="15"/>
    </row>
    <row r="102" customFormat="false" ht="23.85" hidden="false" customHeight="false" outlineLevel="0" collapsed="false">
      <c r="A102" s="15" t="s">
        <v>561</v>
      </c>
      <c r="B102" s="17" t="s">
        <v>562</v>
      </c>
      <c r="C102" s="15" t="n">
        <v>4</v>
      </c>
      <c r="D102" s="15" t="n">
        <f aca="false">IF(Q102="Sí",0,C102*Reglas!$C$5)</f>
        <v>80</v>
      </c>
      <c r="E102" s="14" t="s">
        <v>101</v>
      </c>
      <c r="F102" s="14" t="s">
        <v>520</v>
      </c>
      <c r="G102" s="15" t="s">
        <v>102</v>
      </c>
      <c r="H102" s="14" t="s">
        <v>530</v>
      </c>
      <c r="I102" s="14" t="s">
        <v>111</v>
      </c>
      <c r="J102" s="14" t="s">
        <v>563</v>
      </c>
      <c r="K102" s="14" t="s">
        <v>564</v>
      </c>
      <c r="L102" s="15" t="n">
        <f aca="false">IF(C102=1,0,CHOOSE(C102-1,Reglas!$C$6,Reglas!$C$7,Reglas!$C$8,Reglas!$C$9))</f>
        <v>6</v>
      </c>
      <c r="M102" s="16" t="s">
        <v>70</v>
      </c>
      <c r="N102" s="16" t="n">
        <v>2</v>
      </c>
      <c r="O102" s="16" t="s">
        <v>124</v>
      </c>
      <c r="P102" s="14" t="s">
        <v>565</v>
      </c>
      <c r="Q102" s="15"/>
    </row>
    <row r="103" customFormat="false" ht="23.85" hidden="false" customHeight="false" outlineLevel="0" collapsed="false">
      <c r="A103" s="15" t="s">
        <v>566</v>
      </c>
      <c r="B103" s="17" t="s">
        <v>567</v>
      </c>
      <c r="C103" s="15" t="n">
        <v>5</v>
      </c>
      <c r="D103" s="15" t="n">
        <f aca="false">IF(Q103="Sí",0,C103*Reglas!$C$5)</f>
        <v>100</v>
      </c>
      <c r="E103" s="14" t="s">
        <v>101</v>
      </c>
      <c r="F103" s="14" t="s">
        <v>520</v>
      </c>
      <c r="G103" s="15" t="s">
        <v>102</v>
      </c>
      <c r="H103" s="14" t="s">
        <v>545</v>
      </c>
      <c r="I103" s="14" t="s">
        <v>111</v>
      </c>
      <c r="J103" s="14" t="s">
        <v>568</v>
      </c>
      <c r="K103" s="14" t="s">
        <v>569</v>
      </c>
      <c r="L103" s="15" t="n">
        <f aca="false">IF(C103=1,0,CHOOSE(C103-1,Reglas!$C$6,Reglas!$C$7,Reglas!$C$8,Reglas!$C$9))</f>
        <v>6</v>
      </c>
      <c r="M103" s="16" t="s">
        <v>70</v>
      </c>
      <c r="N103" s="16" t="n">
        <v>2</v>
      </c>
      <c r="O103" s="16" t="s">
        <v>155</v>
      </c>
      <c r="P103" s="14" t="s">
        <v>570</v>
      </c>
      <c r="Q103" s="15"/>
    </row>
    <row r="104" customFormat="false" ht="23.85" hidden="false" customHeight="false" outlineLevel="0" collapsed="false">
      <c r="A104" s="15" t="s">
        <v>571</v>
      </c>
      <c r="B104" s="17" t="s">
        <v>572</v>
      </c>
      <c r="C104" s="15" t="n">
        <v>5</v>
      </c>
      <c r="D104" s="15" t="n">
        <f aca="false">IF(Q104="Sí",0,C104*Reglas!$C$5)</f>
        <v>100</v>
      </c>
      <c r="E104" s="14" t="s">
        <v>101</v>
      </c>
      <c r="F104" s="14" t="s">
        <v>520</v>
      </c>
      <c r="G104" s="15" t="s">
        <v>102</v>
      </c>
      <c r="H104" s="14" t="s">
        <v>545</v>
      </c>
      <c r="I104" s="14" t="s">
        <v>111</v>
      </c>
      <c r="J104" s="14" t="s">
        <v>573</v>
      </c>
      <c r="K104" s="14" t="s">
        <v>574</v>
      </c>
      <c r="L104" s="15" t="n">
        <f aca="false">IF(C104=1,0,CHOOSE(C104-1,Reglas!$C$6,Reglas!$C$7,Reglas!$C$8,Reglas!$C$9))</f>
        <v>6</v>
      </c>
      <c r="M104" s="16" t="s">
        <v>70</v>
      </c>
      <c r="N104" s="16" t="n">
        <v>3</v>
      </c>
      <c r="O104" s="16" t="s">
        <v>124</v>
      </c>
      <c r="P104" s="14" t="s">
        <v>575</v>
      </c>
      <c r="Q104" s="15"/>
    </row>
    <row r="105" customFormat="false" ht="15" hidden="false" customHeight="false" outlineLevel="0" collapsed="false">
      <c r="A105" s="15" t="s">
        <v>576</v>
      </c>
      <c r="B105" s="17" t="s">
        <v>577</v>
      </c>
      <c r="C105" s="15" t="n">
        <v>5</v>
      </c>
      <c r="D105" s="15" t="n">
        <f aca="false">IF(Q105="Sí",0,C105*Reglas!$C$5)</f>
        <v>100</v>
      </c>
      <c r="E105" s="14" t="s">
        <v>64</v>
      </c>
      <c r="F105" s="14" t="s">
        <v>520</v>
      </c>
      <c r="G105" s="15" t="s">
        <v>102</v>
      </c>
      <c r="H105" s="14" t="s">
        <v>121</v>
      </c>
      <c r="I105" s="14" t="s">
        <v>122</v>
      </c>
      <c r="J105" s="14" t="s">
        <v>578</v>
      </c>
      <c r="K105" s="14" t="s">
        <v>579</v>
      </c>
      <c r="L105" s="15" t="n">
        <f aca="false">IF(C105=1,0,CHOOSE(C105-1,Reglas!$C$6,Reglas!$C$7,Reglas!$C$8,Reglas!$C$9))</f>
        <v>6</v>
      </c>
      <c r="M105" s="16" t="s">
        <v>70</v>
      </c>
      <c r="N105" s="16" t="n">
        <v>2</v>
      </c>
      <c r="O105" s="16" t="s">
        <v>155</v>
      </c>
      <c r="P105" s="14" t="s">
        <v>580</v>
      </c>
      <c r="Q105" s="15"/>
    </row>
    <row r="106" customFormat="false" ht="23.85" hidden="false" customHeight="false" outlineLevel="0" collapsed="false">
      <c r="A106" s="12" t="s">
        <v>581</v>
      </c>
      <c r="B106" s="13" t="s">
        <v>582</v>
      </c>
      <c r="C106" s="12" t="n">
        <v>1</v>
      </c>
      <c r="D106" s="12" t="n">
        <f aca="false">IF(Q106="Sí",0,C106*Reglas!$C$5)</f>
        <v>0</v>
      </c>
      <c r="E106" s="14" t="s">
        <v>101</v>
      </c>
      <c r="F106" s="14" t="s">
        <v>583</v>
      </c>
      <c r="G106" s="12" t="s">
        <v>66</v>
      </c>
      <c r="H106" s="14" t="s">
        <v>584</v>
      </c>
      <c r="I106" s="14" t="s">
        <v>104</v>
      </c>
      <c r="J106" s="14" t="s">
        <v>585</v>
      </c>
      <c r="K106" s="14" t="s">
        <v>69</v>
      </c>
      <c r="L106" s="15" t="n">
        <f aca="false">IF(C106=1,0,CHOOSE(C106-1,Reglas!$C$6,Reglas!$C$7,Reglas!$C$8,Reglas!$C$9))</f>
        <v>0</v>
      </c>
      <c r="M106" s="16" t="s">
        <v>106</v>
      </c>
      <c r="N106" s="16" t="n">
        <v>5</v>
      </c>
      <c r="O106" s="16" t="s">
        <v>71</v>
      </c>
      <c r="P106" s="14" t="s">
        <v>586</v>
      </c>
      <c r="Q106" s="15" t="s">
        <v>108</v>
      </c>
    </row>
    <row r="107" customFormat="false" ht="15" hidden="false" customHeight="false" outlineLevel="0" collapsed="false">
      <c r="A107" s="12" t="s">
        <v>587</v>
      </c>
      <c r="B107" s="13" t="s">
        <v>588</v>
      </c>
      <c r="C107" s="12" t="n">
        <v>1</v>
      </c>
      <c r="D107" s="12" t="n">
        <f aca="false">IF(Q107="Sí",0,C107*Reglas!$C$5)</f>
        <v>20</v>
      </c>
      <c r="E107" s="14" t="s">
        <v>64</v>
      </c>
      <c r="F107" s="14" t="s">
        <v>583</v>
      </c>
      <c r="G107" s="12" t="s">
        <v>66</v>
      </c>
      <c r="H107" s="14" t="s">
        <v>589</v>
      </c>
      <c r="I107" s="14" t="s">
        <v>589</v>
      </c>
      <c r="J107" s="14" t="s">
        <v>590</v>
      </c>
      <c r="K107" s="14" t="s">
        <v>69</v>
      </c>
      <c r="L107" s="15" t="n">
        <f aca="false">IF(C107=1,0,CHOOSE(C107-1,Reglas!$C$6,Reglas!$C$7,Reglas!$C$8,Reglas!$C$9))</f>
        <v>0</v>
      </c>
      <c r="M107" s="16" t="s">
        <v>70</v>
      </c>
      <c r="N107" s="16" t="n">
        <v>4</v>
      </c>
      <c r="O107" s="16" t="s">
        <v>71</v>
      </c>
      <c r="P107" s="14" t="s">
        <v>591</v>
      </c>
      <c r="Q107" s="15"/>
    </row>
    <row r="108" customFormat="false" ht="23.85" hidden="false" customHeight="false" outlineLevel="0" collapsed="false">
      <c r="A108" s="12" t="s">
        <v>592</v>
      </c>
      <c r="B108" s="13" t="s">
        <v>593</v>
      </c>
      <c r="C108" s="12" t="n">
        <v>2</v>
      </c>
      <c r="D108" s="12" t="n">
        <f aca="false">IF(Q108="Sí",0,C108*Reglas!$C$5)</f>
        <v>40</v>
      </c>
      <c r="E108" s="14" t="s">
        <v>101</v>
      </c>
      <c r="F108" s="14" t="s">
        <v>583</v>
      </c>
      <c r="G108" s="12" t="s">
        <v>66</v>
      </c>
      <c r="H108" s="14" t="s">
        <v>584</v>
      </c>
      <c r="I108" s="14" t="s">
        <v>128</v>
      </c>
      <c r="J108" s="14" t="s">
        <v>594</v>
      </c>
      <c r="K108" s="14" t="s">
        <v>595</v>
      </c>
      <c r="L108" s="15" t="n">
        <f aca="false">IF(C108=1,0,CHOOSE(C108-1,Reglas!$C$6,Reglas!$C$7,Reglas!$C$8,Reglas!$C$9))</f>
        <v>3</v>
      </c>
      <c r="M108" s="16" t="s">
        <v>106</v>
      </c>
      <c r="N108" s="16" t="n">
        <v>4</v>
      </c>
      <c r="O108" s="16" t="s">
        <v>124</v>
      </c>
      <c r="P108" s="14" t="s">
        <v>596</v>
      </c>
      <c r="Q108" s="15"/>
    </row>
    <row r="109" customFormat="false" ht="23.85" hidden="false" customHeight="false" outlineLevel="0" collapsed="false">
      <c r="A109" s="12" t="s">
        <v>597</v>
      </c>
      <c r="B109" s="13" t="s">
        <v>598</v>
      </c>
      <c r="C109" s="12" t="n">
        <v>2</v>
      </c>
      <c r="D109" s="12" t="n">
        <f aca="false">IF(Q109="Sí",0,C109*Reglas!$C$5)</f>
        <v>40</v>
      </c>
      <c r="E109" s="14" t="s">
        <v>64</v>
      </c>
      <c r="F109" s="14" t="s">
        <v>583</v>
      </c>
      <c r="G109" s="12" t="s">
        <v>66</v>
      </c>
      <c r="H109" s="14" t="s">
        <v>589</v>
      </c>
      <c r="I109" s="14" t="s">
        <v>589</v>
      </c>
      <c r="J109" s="14" t="s">
        <v>599</v>
      </c>
      <c r="K109" s="14" t="s">
        <v>600</v>
      </c>
      <c r="L109" s="15" t="n">
        <f aca="false">IF(C109=1,0,CHOOSE(C109-1,Reglas!$C$6,Reglas!$C$7,Reglas!$C$8,Reglas!$C$9))</f>
        <v>3</v>
      </c>
      <c r="M109" s="16" t="s">
        <v>70</v>
      </c>
      <c r="N109" s="16" t="n">
        <v>4</v>
      </c>
      <c r="O109" s="16" t="s">
        <v>71</v>
      </c>
      <c r="P109" s="14" t="s">
        <v>601</v>
      </c>
      <c r="Q109" s="15"/>
    </row>
    <row r="110" customFormat="false" ht="23.85" hidden="false" customHeight="false" outlineLevel="0" collapsed="false">
      <c r="A110" s="12" t="s">
        <v>602</v>
      </c>
      <c r="B110" s="13" t="s">
        <v>603</v>
      </c>
      <c r="C110" s="12" t="n">
        <v>3</v>
      </c>
      <c r="D110" s="12" t="n">
        <f aca="false">IF(Q110="Sí",0,C110*Reglas!$C$5)</f>
        <v>60</v>
      </c>
      <c r="E110" s="14" t="s">
        <v>101</v>
      </c>
      <c r="F110" s="14" t="s">
        <v>583</v>
      </c>
      <c r="G110" s="12" t="s">
        <v>66</v>
      </c>
      <c r="H110" s="14" t="s">
        <v>584</v>
      </c>
      <c r="I110" s="14" t="s">
        <v>128</v>
      </c>
      <c r="J110" s="14" t="s">
        <v>604</v>
      </c>
      <c r="K110" s="14" t="s">
        <v>605</v>
      </c>
      <c r="L110" s="15" t="n">
        <f aca="false">IF(C110=1,0,CHOOSE(C110-1,Reglas!$C$6,Reglas!$C$7,Reglas!$C$8,Reglas!$C$9))</f>
        <v>5</v>
      </c>
      <c r="M110" s="16" t="s">
        <v>106</v>
      </c>
      <c r="N110" s="16" t="n">
        <v>4</v>
      </c>
      <c r="O110" s="16" t="s">
        <v>124</v>
      </c>
      <c r="P110" s="14" t="s">
        <v>606</v>
      </c>
      <c r="Q110" s="15"/>
    </row>
    <row r="111" customFormat="false" ht="15" hidden="false" customHeight="false" outlineLevel="0" collapsed="false">
      <c r="A111" s="12" t="s">
        <v>607</v>
      </c>
      <c r="B111" s="13" t="s">
        <v>608</v>
      </c>
      <c r="C111" s="12" t="n">
        <v>4</v>
      </c>
      <c r="D111" s="12" t="n">
        <f aca="false">IF(Q111="Sí",0,C111*Reglas!$C$5)</f>
        <v>80</v>
      </c>
      <c r="E111" s="14" t="s">
        <v>101</v>
      </c>
      <c r="F111" s="14" t="s">
        <v>583</v>
      </c>
      <c r="G111" s="12" t="s">
        <v>66</v>
      </c>
      <c r="H111" s="14" t="s">
        <v>584</v>
      </c>
      <c r="I111" s="14" t="s">
        <v>128</v>
      </c>
      <c r="J111" s="14" t="s">
        <v>609</v>
      </c>
      <c r="K111" s="14" t="s">
        <v>610</v>
      </c>
      <c r="L111" s="15" t="n">
        <f aca="false">IF(C111=1,0,CHOOSE(C111-1,Reglas!$C$6,Reglas!$C$7,Reglas!$C$8,Reglas!$C$9))</f>
        <v>6</v>
      </c>
      <c r="M111" s="16" t="s">
        <v>106</v>
      </c>
      <c r="N111" s="16" t="n">
        <v>4</v>
      </c>
      <c r="O111" s="16" t="s">
        <v>124</v>
      </c>
      <c r="P111" s="14" t="s">
        <v>611</v>
      </c>
      <c r="Q111" s="15"/>
    </row>
    <row r="112" customFormat="false" ht="23.85" hidden="false" customHeight="false" outlineLevel="0" collapsed="false">
      <c r="A112" s="12" t="s">
        <v>612</v>
      </c>
      <c r="B112" s="13" t="s">
        <v>613</v>
      </c>
      <c r="C112" s="12" t="n">
        <v>5</v>
      </c>
      <c r="D112" s="12" t="n">
        <f aca="false">IF(Q112="Sí",0,C112*Reglas!$C$5)</f>
        <v>100</v>
      </c>
      <c r="E112" s="14" t="s">
        <v>101</v>
      </c>
      <c r="F112" s="14" t="s">
        <v>583</v>
      </c>
      <c r="G112" s="12" t="s">
        <v>66</v>
      </c>
      <c r="H112" s="14" t="s">
        <v>584</v>
      </c>
      <c r="I112" s="14" t="s">
        <v>111</v>
      </c>
      <c r="J112" s="14" t="s">
        <v>614</v>
      </c>
      <c r="K112" s="14" t="s">
        <v>615</v>
      </c>
      <c r="L112" s="15" t="n">
        <f aca="false">IF(C112=1,0,CHOOSE(C112-1,Reglas!$C$6,Reglas!$C$7,Reglas!$C$8,Reglas!$C$9))</f>
        <v>6</v>
      </c>
      <c r="M112" s="16" t="s">
        <v>106</v>
      </c>
      <c r="N112" s="16" t="n">
        <v>2</v>
      </c>
      <c r="O112" s="16" t="s">
        <v>155</v>
      </c>
      <c r="P112" s="14" t="s">
        <v>616</v>
      </c>
      <c r="Q112" s="15"/>
    </row>
    <row r="113" customFormat="false" ht="23.85" hidden="false" customHeight="false" outlineLevel="0" collapsed="false">
      <c r="A113" s="15" t="s">
        <v>617</v>
      </c>
      <c r="B113" s="17" t="s">
        <v>618</v>
      </c>
      <c r="C113" s="15" t="n">
        <v>2</v>
      </c>
      <c r="D113" s="15" t="n">
        <f aca="false">IF(Q113="Sí",0,C113*Reglas!$C$5)</f>
        <v>40</v>
      </c>
      <c r="E113" s="14" t="s">
        <v>101</v>
      </c>
      <c r="F113" s="14" t="s">
        <v>583</v>
      </c>
      <c r="G113" s="15" t="s">
        <v>102</v>
      </c>
      <c r="H113" s="14" t="s">
        <v>584</v>
      </c>
      <c r="I113" s="14" t="s">
        <v>128</v>
      </c>
      <c r="J113" s="14" t="s">
        <v>619</v>
      </c>
      <c r="K113" s="14" t="s">
        <v>595</v>
      </c>
      <c r="L113" s="15" t="n">
        <f aca="false">IF(C113=1,0,CHOOSE(C113-1,Reglas!$C$6,Reglas!$C$7,Reglas!$C$8,Reglas!$C$9))</f>
        <v>3</v>
      </c>
      <c r="M113" s="16" t="s">
        <v>106</v>
      </c>
      <c r="N113" s="16" t="n">
        <v>4</v>
      </c>
      <c r="O113" s="16" t="s">
        <v>124</v>
      </c>
      <c r="P113" s="14" t="s">
        <v>620</v>
      </c>
      <c r="Q113" s="15"/>
    </row>
    <row r="114" customFormat="false" ht="15" hidden="false" customHeight="false" outlineLevel="0" collapsed="false">
      <c r="A114" s="15" t="s">
        <v>621</v>
      </c>
      <c r="B114" s="17" t="s">
        <v>622</v>
      </c>
      <c r="C114" s="15" t="n">
        <v>2</v>
      </c>
      <c r="D114" s="15" t="n">
        <f aca="false">IF(Q114="Sí",0,C114*Reglas!$C$5)</f>
        <v>40</v>
      </c>
      <c r="E114" s="14" t="s">
        <v>64</v>
      </c>
      <c r="F114" s="14" t="s">
        <v>583</v>
      </c>
      <c r="G114" s="15" t="s">
        <v>102</v>
      </c>
      <c r="H114" s="14" t="s">
        <v>589</v>
      </c>
      <c r="I114" s="14" t="s">
        <v>589</v>
      </c>
      <c r="J114" s="14" t="s">
        <v>623</v>
      </c>
      <c r="K114" s="14" t="s">
        <v>600</v>
      </c>
      <c r="L114" s="15" t="n">
        <f aca="false">IF(C114=1,0,CHOOSE(C114-1,Reglas!$C$6,Reglas!$C$7,Reglas!$C$8,Reglas!$C$9))</f>
        <v>3</v>
      </c>
      <c r="M114" s="16" t="s">
        <v>70</v>
      </c>
      <c r="N114" s="16" t="n">
        <v>3</v>
      </c>
      <c r="O114" s="16" t="s">
        <v>124</v>
      </c>
      <c r="P114" s="14" t="s">
        <v>624</v>
      </c>
      <c r="Q114" s="15"/>
    </row>
    <row r="115" customFormat="false" ht="15" hidden="false" customHeight="false" outlineLevel="0" collapsed="false">
      <c r="A115" s="15" t="s">
        <v>625</v>
      </c>
      <c r="B115" s="17" t="s">
        <v>626</v>
      </c>
      <c r="C115" s="15" t="n">
        <v>2</v>
      </c>
      <c r="D115" s="15" t="n">
        <f aca="false">IF(Q115="Sí",0,C115*Reglas!$C$5)</f>
        <v>40</v>
      </c>
      <c r="E115" s="14" t="s">
        <v>64</v>
      </c>
      <c r="F115" s="14" t="s">
        <v>583</v>
      </c>
      <c r="G115" s="15" t="s">
        <v>102</v>
      </c>
      <c r="H115" s="14" t="s">
        <v>589</v>
      </c>
      <c r="I115" s="14" t="s">
        <v>589</v>
      </c>
      <c r="J115" s="14" t="s">
        <v>627</v>
      </c>
      <c r="K115" s="14" t="s">
        <v>600</v>
      </c>
      <c r="L115" s="15" t="n">
        <f aca="false">IF(C115=1,0,CHOOSE(C115-1,Reglas!$C$6,Reglas!$C$7,Reglas!$C$8,Reglas!$C$9))</f>
        <v>3</v>
      </c>
      <c r="M115" s="16" t="s">
        <v>70</v>
      </c>
      <c r="N115" s="16" t="n">
        <v>4</v>
      </c>
      <c r="O115" s="16" t="s">
        <v>71</v>
      </c>
      <c r="P115" s="14" t="s">
        <v>628</v>
      </c>
      <c r="Q115" s="15"/>
    </row>
    <row r="116" customFormat="false" ht="23.85" hidden="false" customHeight="false" outlineLevel="0" collapsed="false">
      <c r="A116" s="15" t="s">
        <v>629</v>
      </c>
      <c r="B116" s="17" t="s">
        <v>630</v>
      </c>
      <c r="C116" s="15" t="n">
        <v>3</v>
      </c>
      <c r="D116" s="15" t="n">
        <f aca="false">IF(Q116="Sí",0,C116*Reglas!$C$5)</f>
        <v>60</v>
      </c>
      <c r="E116" s="14" t="s">
        <v>101</v>
      </c>
      <c r="F116" s="14" t="s">
        <v>583</v>
      </c>
      <c r="G116" s="15" t="s">
        <v>102</v>
      </c>
      <c r="H116" s="14" t="s">
        <v>584</v>
      </c>
      <c r="I116" s="14" t="s">
        <v>128</v>
      </c>
      <c r="J116" s="14" t="s">
        <v>631</v>
      </c>
      <c r="K116" s="14" t="s">
        <v>632</v>
      </c>
      <c r="L116" s="15" t="n">
        <f aca="false">IF(C116=1,0,CHOOSE(C116-1,Reglas!$C$6,Reglas!$C$7,Reglas!$C$8,Reglas!$C$9))</f>
        <v>5</v>
      </c>
      <c r="M116" s="16" t="s">
        <v>106</v>
      </c>
      <c r="N116" s="16" t="n">
        <v>4</v>
      </c>
      <c r="O116" s="16" t="s">
        <v>124</v>
      </c>
      <c r="P116" s="14" t="s">
        <v>633</v>
      </c>
      <c r="Q116" s="15"/>
    </row>
    <row r="117" customFormat="false" ht="23.85" hidden="false" customHeight="false" outlineLevel="0" collapsed="false">
      <c r="A117" s="15" t="s">
        <v>634</v>
      </c>
      <c r="B117" s="17" t="s">
        <v>635</v>
      </c>
      <c r="C117" s="15" t="n">
        <v>3</v>
      </c>
      <c r="D117" s="15" t="n">
        <f aca="false">IF(Q117="Sí",0,C117*Reglas!$C$5)</f>
        <v>60</v>
      </c>
      <c r="E117" s="14" t="s">
        <v>64</v>
      </c>
      <c r="F117" s="14" t="s">
        <v>583</v>
      </c>
      <c r="G117" s="15" t="s">
        <v>102</v>
      </c>
      <c r="H117" s="14" t="s">
        <v>589</v>
      </c>
      <c r="I117" s="14" t="s">
        <v>589</v>
      </c>
      <c r="J117" s="14" t="s">
        <v>636</v>
      </c>
      <c r="K117" s="14" t="s">
        <v>637</v>
      </c>
      <c r="L117" s="15" t="n">
        <f aca="false">IF(C117=1,0,CHOOSE(C117-1,Reglas!$C$6,Reglas!$C$7,Reglas!$C$8,Reglas!$C$9))</f>
        <v>5</v>
      </c>
      <c r="M117" s="16" t="s">
        <v>70</v>
      </c>
      <c r="N117" s="16" t="n">
        <v>3</v>
      </c>
      <c r="O117" s="16" t="s">
        <v>71</v>
      </c>
      <c r="P117" s="14" t="s">
        <v>638</v>
      </c>
      <c r="Q117" s="15"/>
    </row>
    <row r="118" customFormat="false" ht="15" hidden="false" customHeight="false" outlineLevel="0" collapsed="false">
      <c r="A118" s="15" t="s">
        <v>639</v>
      </c>
      <c r="B118" s="17" t="s">
        <v>640</v>
      </c>
      <c r="C118" s="15" t="n">
        <v>3</v>
      </c>
      <c r="D118" s="15" t="n">
        <f aca="false">IF(Q118="Sí",0,C118*Reglas!$C$5)</f>
        <v>60</v>
      </c>
      <c r="E118" s="14" t="s">
        <v>64</v>
      </c>
      <c r="F118" s="14" t="s">
        <v>583</v>
      </c>
      <c r="G118" s="15" t="s">
        <v>102</v>
      </c>
      <c r="H118" s="14" t="s">
        <v>589</v>
      </c>
      <c r="I118" s="14" t="s">
        <v>589</v>
      </c>
      <c r="J118" s="14" t="s">
        <v>641</v>
      </c>
      <c r="K118" s="14" t="s">
        <v>642</v>
      </c>
      <c r="L118" s="15" t="n">
        <f aca="false">IF(C118=1,0,CHOOSE(C118-1,Reglas!$C$6,Reglas!$C$7,Reglas!$C$8,Reglas!$C$9))</f>
        <v>5</v>
      </c>
      <c r="M118" s="16" t="s">
        <v>70</v>
      </c>
      <c r="N118" s="16" t="n">
        <v>2</v>
      </c>
      <c r="O118" s="16" t="s">
        <v>155</v>
      </c>
      <c r="P118" s="14" t="s">
        <v>643</v>
      </c>
      <c r="Q118" s="15"/>
    </row>
    <row r="119" customFormat="false" ht="23.85" hidden="false" customHeight="false" outlineLevel="0" collapsed="false">
      <c r="A119" s="15" t="s">
        <v>644</v>
      </c>
      <c r="B119" s="17" t="s">
        <v>645</v>
      </c>
      <c r="C119" s="15" t="n">
        <v>3</v>
      </c>
      <c r="D119" s="15" t="n">
        <f aca="false">IF(Q119="Sí",0,C119*Reglas!$C$5)</f>
        <v>60</v>
      </c>
      <c r="E119" s="14" t="s">
        <v>64</v>
      </c>
      <c r="F119" s="14" t="s">
        <v>583</v>
      </c>
      <c r="G119" s="15" t="s">
        <v>102</v>
      </c>
      <c r="H119" s="14" t="s">
        <v>589</v>
      </c>
      <c r="I119" s="14" t="s">
        <v>589</v>
      </c>
      <c r="J119" s="14" t="s">
        <v>646</v>
      </c>
      <c r="K119" s="14" t="s">
        <v>642</v>
      </c>
      <c r="L119" s="15" t="n">
        <f aca="false">IF(C119=1,0,CHOOSE(C119-1,Reglas!$C$6,Reglas!$C$7,Reglas!$C$8,Reglas!$C$9))</f>
        <v>5</v>
      </c>
      <c r="M119" s="16" t="s">
        <v>70</v>
      </c>
      <c r="N119" s="16" t="n">
        <v>3</v>
      </c>
      <c r="O119" s="16" t="s">
        <v>124</v>
      </c>
      <c r="P119" s="14" t="s">
        <v>647</v>
      </c>
      <c r="Q119" s="15"/>
    </row>
    <row r="120" customFormat="false" ht="15" hidden="false" customHeight="false" outlineLevel="0" collapsed="false">
      <c r="A120" s="15" t="s">
        <v>648</v>
      </c>
      <c r="B120" s="17" t="s">
        <v>649</v>
      </c>
      <c r="C120" s="15" t="n">
        <v>3</v>
      </c>
      <c r="D120" s="15" t="n">
        <f aca="false">IF(Q120="Sí",0,C120*Reglas!$C$5)</f>
        <v>60</v>
      </c>
      <c r="E120" s="14" t="s">
        <v>650</v>
      </c>
      <c r="F120" s="14" t="s">
        <v>583</v>
      </c>
      <c r="G120" s="15" t="s">
        <v>102</v>
      </c>
      <c r="H120" s="14" t="s">
        <v>651</v>
      </c>
      <c r="I120" s="14" t="s">
        <v>651</v>
      </c>
      <c r="J120" s="14" t="s">
        <v>652</v>
      </c>
      <c r="K120" s="14" t="s">
        <v>595</v>
      </c>
      <c r="L120" s="15" t="n">
        <f aca="false">IF(C120=1,0,CHOOSE(C120-1,Reglas!$C$6,Reglas!$C$7,Reglas!$C$8,Reglas!$C$9))</f>
        <v>5</v>
      </c>
      <c r="M120" s="16" t="s">
        <v>70</v>
      </c>
      <c r="N120" s="16" t="n">
        <v>3</v>
      </c>
      <c r="O120" s="16" t="s">
        <v>71</v>
      </c>
      <c r="P120" s="14" t="s">
        <v>653</v>
      </c>
      <c r="Q120" s="15"/>
    </row>
    <row r="121" customFormat="false" ht="23.85" hidden="false" customHeight="false" outlineLevel="0" collapsed="false">
      <c r="A121" s="15" t="s">
        <v>654</v>
      </c>
      <c r="B121" s="17" t="s">
        <v>655</v>
      </c>
      <c r="C121" s="15" t="n">
        <v>4</v>
      </c>
      <c r="D121" s="15" t="n">
        <f aca="false">IF(Q121="Sí",0,C121*Reglas!$C$5)</f>
        <v>80</v>
      </c>
      <c r="E121" s="14" t="s">
        <v>101</v>
      </c>
      <c r="F121" s="14" t="s">
        <v>583</v>
      </c>
      <c r="G121" s="15" t="s">
        <v>102</v>
      </c>
      <c r="H121" s="14" t="s">
        <v>584</v>
      </c>
      <c r="I121" s="14" t="s">
        <v>128</v>
      </c>
      <c r="J121" s="14" t="s">
        <v>656</v>
      </c>
      <c r="K121" s="14" t="s">
        <v>657</v>
      </c>
      <c r="L121" s="15" t="n">
        <f aca="false">IF(C121=1,0,CHOOSE(C121-1,Reglas!$C$6,Reglas!$C$7,Reglas!$C$8,Reglas!$C$9))</f>
        <v>6</v>
      </c>
      <c r="M121" s="16" t="s">
        <v>106</v>
      </c>
      <c r="N121" s="16" t="n">
        <v>3</v>
      </c>
      <c r="O121" s="16" t="s">
        <v>124</v>
      </c>
      <c r="P121" s="14" t="s">
        <v>658</v>
      </c>
      <c r="Q121" s="15"/>
    </row>
    <row r="122" customFormat="false" ht="23.85" hidden="false" customHeight="false" outlineLevel="0" collapsed="false">
      <c r="A122" s="15" t="s">
        <v>659</v>
      </c>
      <c r="B122" s="17" t="s">
        <v>660</v>
      </c>
      <c r="C122" s="15" t="n">
        <v>4</v>
      </c>
      <c r="D122" s="15" t="n">
        <f aca="false">IF(Q122="Sí",0,C122*Reglas!$C$5)</f>
        <v>80</v>
      </c>
      <c r="E122" s="14" t="s">
        <v>64</v>
      </c>
      <c r="F122" s="14" t="s">
        <v>583</v>
      </c>
      <c r="G122" s="15" t="s">
        <v>102</v>
      </c>
      <c r="H122" s="14" t="s">
        <v>589</v>
      </c>
      <c r="I122" s="14" t="s">
        <v>589</v>
      </c>
      <c r="J122" s="14" t="s">
        <v>661</v>
      </c>
      <c r="K122" s="14" t="s">
        <v>662</v>
      </c>
      <c r="L122" s="15" t="n">
        <f aca="false">IF(C122=1,0,CHOOSE(C122-1,Reglas!$C$6,Reglas!$C$7,Reglas!$C$8,Reglas!$C$9))</f>
        <v>6</v>
      </c>
      <c r="M122" s="16" t="s">
        <v>70</v>
      </c>
      <c r="N122" s="16" t="n">
        <v>2</v>
      </c>
      <c r="O122" s="16" t="s">
        <v>155</v>
      </c>
      <c r="P122" s="14" t="s">
        <v>663</v>
      </c>
      <c r="Q122" s="15"/>
    </row>
    <row r="123" customFormat="false" ht="23.85" hidden="false" customHeight="false" outlineLevel="0" collapsed="false">
      <c r="A123" s="15" t="s">
        <v>664</v>
      </c>
      <c r="B123" s="17" t="s">
        <v>665</v>
      </c>
      <c r="C123" s="15" t="n">
        <v>5</v>
      </c>
      <c r="D123" s="15" t="n">
        <f aca="false">IF(Q123="Sí",0,C123*Reglas!$C$5)</f>
        <v>100</v>
      </c>
      <c r="E123" s="14" t="s">
        <v>64</v>
      </c>
      <c r="F123" s="14" t="s">
        <v>583</v>
      </c>
      <c r="G123" s="15" t="s">
        <v>102</v>
      </c>
      <c r="H123" s="14" t="s">
        <v>589</v>
      </c>
      <c r="I123" s="14" t="s">
        <v>589</v>
      </c>
      <c r="J123" s="14" t="s">
        <v>666</v>
      </c>
      <c r="K123" s="14" t="s">
        <v>667</v>
      </c>
      <c r="L123" s="15" t="n">
        <f aca="false">IF(C123=1,0,CHOOSE(C123-1,Reglas!$C$6,Reglas!$C$7,Reglas!$C$8,Reglas!$C$9))</f>
        <v>6</v>
      </c>
      <c r="M123" s="16" t="s">
        <v>70</v>
      </c>
      <c r="N123" s="16" t="n">
        <v>2</v>
      </c>
      <c r="O123" s="16" t="s">
        <v>155</v>
      </c>
      <c r="P123" s="14" t="s">
        <v>668</v>
      </c>
      <c r="Q123" s="15"/>
    </row>
    <row r="124" customFormat="false" ht="23.85" hidden="false" customHeight="false" outlineLevel="0" collapsed="false">
      <c r="A124" s="12" t="s">
        <v>669</v>
      </c>
      <c r="B124" s="13" t="s">
        <v>670</v>
      </c>
      <c r="C124" s="12" t="n">
        <v>1</v>
      </c>
      <c r="D124" s="12" t="n">
        <f aca="false">IF(Q124="Sí",0,C124*Reglas!$C$5)</f>
        <v>20</v>
      </c>
      <c r="E124" s="14" t="s">
        <v>64</v>
      </c>
      <c r="F124" s="14" t="s">
        <v>671</v>
      </c>
      <c r="G124" s="12" t="s">
        <v>66</v>
      </c>
      <c r="H124" s="14" t="s">
        <v>672</v>
      </c>
      <c r="I124" s="14" t="s">
        <v>380</v>
      </c>
      <c r="J124" s="14" t="s">
        <v>673</v>
      </c>
      <c r="K124" s="14" t="s">
        <v>69</v>
      </c>
      <c r="L124" s="15" t="n">
        <f aca="false">IF(C124=1,0,CHOOSE(C124-1,Reglas!$C$6,Reglas!$C$7,Reglas!$C$8,Reglas!$C$9))</f>
        <v>0</v>
      </c>
      <c r="M124" s="16" t="s">
        <v>70</v>
      </c>
      <c r="N124" s="16" t="n">
        <v>3</v>
      </c>
      <c r="O124" s="16" t="s">
        <v>71</v>
      </c>
      <c r="P124" s="14" t="s">
        <v>674</v>
      </c>
      <c r="Q124" s="15"/>
    </row>
    <row r="125" customFormat="false" ht="15" hidden="false" customHeight="false" outlineLevel="0" collapsed="false">
      <c r="A125" s="12" t="s">
        <v>675</v>
      </c>
      <c r="B125" s="13" t="s">
        <v>676</v>
      </c>
      <c r="C125" s="12" t="n">
        <v>1</v>
      </c>
      <c r="D125" s="12" t="n">
        <f aca="false">IF(Q125="Sí",0,C125*Reglas!$C$5)</f>
        <v>20</v>
      </c>
      <c r="E125" s="14" t="s">
        <v>64</v>
      </c>
      <c r="F125" s="14" t="s">
        <v>671</v>
      </c>
      <c r="G125" s="12" t="s">
        <v>66</v>
      </c>
      <c r="H125" s="14" t="s">
        <v>677</v>
      </c>
      <c r="I125" s="14" t="s">
        <v>380</v>
      </c>
      <c r="J125" s="14" t="s">
        <v>678</v>
      </c>
      <c r="K125" s="14" t="s">
        <v>69</v>
      </c>
      <c r="L125" s="15" t="n">
        <f aca="false">IF(C125=1,0,CHOOSE(C125-1,Reglas!$C$6,Reglas!$C$7,Reglas!$C$8,Reglas!$C$9))</f>
        <v>0</v>
      </c>
      <c r="M125" s="16" t="s">
        <v>70</v>
      </c>
      <c r="N125" s="16" t="n">
        <v>3</v>
      </c>
      <c r="O125" s="16" t="s">
        <v>71</v>
      </c>
      <c r="P125" s="14" t="s">
        <v>679</v>
      </c>
      <c r="Q125" s="15"/>
    </row>
    <row r="126" customFormat="false" ht="15" hidden="false" customHeight="false" outlineLevel="0" collapsed="false">
      <c r="A126" s="12" t="s">
        <v>680</v>
      </c>
      <c r="B126" s="13" t="s">
        <v>681</v>
      </c>
      <c r="C126" s="12" t="n">
        <v>2</v>
      </c>
      <c r="D126" s="12" t="n">
        <f aca="false">IF(Q126="Sí",0,C126*Reglas!$C$5)</f>
        <v>40</v>
      </c>
      <c r="E126" s="14" t="s">
        <v>64</v>
      </c>
      <c r="F126" s="14" t="s">
        <v>671</v>
      </c>
      <c r="G126" s="12" t="s">
        <v>66</v>
      </c>
      <c r="H126" s="14" t="s">
        <v>672</v>
      </c>
      <c r="I126" s="14" t="s">
        <v>672</v>
      </c>
      <c r="J126" s="14" t="s">
        <v>682</v>
      </c>
      <c r="K126" s="14" t="s">
        <v>683</v>
      </c>
      <c r="L126" s="15" t="n">
        <f aca="false">IF(C126=1,0,CHOOSE(C126-1,Reglas!$C$6,Reglas!$C$7,Reglas!$C$8,Reglas!$C$9))</f>
        <v>3</v>
      </c>
      <c r="M126" s="16" t="s">
        <v>70</v>
      </c>
      <c r="N126" s="16" t="n">
        <v>4</v>
      </c>
      <c r="O126" s="16" t="s">
        <v>71</v>
      </c>
      <c r="P126" s="14" t="s">
        <v>684</v>
      </c>
      <c r="Q126" s="15"/>
    </row>
    <row r="127" customFormat="false" ht="23.85" hidden="false" customHeight="false" outlineLevel="0" collapsed="false">
      <c r="A127" s="12" t="s">
        <v>685</v>
      </c>
      <c r="B127" s="13" t="s">
        <v>686</v>
      </c>
      <c r="C127" s="12" t="n">
        <v>2</v>
      </c>
      <c r="D127" s="12" t="n">
        <f aca="false">IF(Q127="Sí",0,C127*Reglas!$C$5)</f>
        <v>40</v>
      </c>
      <c r="E127" s="14" t="s">
        <v>64</v>
      </c>
      <c r="F127" s="14" t="s">
        <v>671</v>
      </c>
      <c r="G127" s="12" t="s">
        <v>66</v>
      </c>
      <c r="H127" s="14" t="s">
        <v>677</v>
      </c>
      <c r="I127" s="14" t="s">
        <v>677</v>
      </c>
      <c r="J127" s="14" t="s">
        <v>687</v>
      </c>
      <c r="K127" s="14" t="s">
        <v>688</v>
      </c>
      <c r="L127" s="15" t="n">
        <f aca="false">IF(C127=1,0,CHOOSE(C127-1,Reglas!$C$6,Reglas!$C$7,Reglas!$C$8,Reglas!$C$9))</f>
        <v>3</v>
      </c>
      <c r="M127" s="16" t="s">
        <v>70</v>
      </c>
      <c r="N127" s="16" t="n">
        <v>4</v>
      </c>
      <c r="O127" s="16" t="s">
        <v>124</v>
      </c>
      <c r="P127" s="14" t="s">
        <v>689</v>
      </c>
      <c r="Q127" s="15"/>
    </row>
    <row r="128" customFormat="false" ht="15" hidden="false" customHeight="false" outlineLevel="0" collapsed="false">
      <c r="A128" s="12" t="s">
        <v>690</v>
      </c>
      <c r="B128" s="13" t="s">
        <v>691</v>
      </c>
      <c r="C128" s="12" t="n">
        <v>3</v>
      </c>
      <c r="D128" s="12" t="n">
        <f aca="false">IF(Q128="Sí",0,C128*Reglas!$C$5)</f>
        <v>60</v>
      </c>
      <c r="E128" s="14" t="s">
        <v>64</v>
      </c>
      <c r="F128" s="14" t="s">
        <v>671</v>
      </c>
      <c r="G128" s="12" t="s">
        <v>66</v>
      </c>
      <c r="H128" s="14" t="s">
        <v>672</v>
      </c>
      <c r="I128" s="14" t="s">
        <v>672</v>
      </c>
      <c r="J128" s="14" t="s">
        <v>692</v>
      </c>
      <c r="K128" s="14" t="s">
        <v>693</v>
      </c>
      <c r="L128" s="15" t="n">
        <f aca="false">IF(C128=1,0,CHOOSE(C128-1,Reglas!$C$6,Reglas!$C$7,Reglas!$C$8,Reglas!$C$9))</f>
        <v>5</v>
      </c>
      <c r="M128" s="16" t="s">
        <v>70</v>
      </c>
      <c r="N128" s="16" t="n">
        <v>3</v>
      </c>
      <c r="O128" s="16" t="s">
        <v>71</v>
      </c>
      <c r="P128" s="14" t="s">
        <v>694</v>
      </c>
      <c r="Q128" s="15"/>
    </row>
    <row r="129" customFormat="false" ht="23.85" hidden="false" customHeight="false" outlineLevel="0" collapsed="false">
      <c r="A129" s="12" t="s">
        <v>695</v>
      </c>
      <c r="B129" s="13" t="s">
        <v>696</v>
      </c>
      <c r="C129" s="12" t="n">
        <v>4</v>
      </c>
      <c r="D129" s="12" t="n">
        <f aca="false">IF(Q129="Sí",0,C129*Reglas!$C$5)</f>
        <v>80</v>
      </c>
      <c r="E129" s="14" t="s">
        <v>64</v>
      </c>
      <c r="F129" s="14" t="s">
        <v>671</v>
      </c>
      <c r="G129" s="12" t="s">
        <v>66</v>
      </c>
      <c r="H129" s="14" t="s">
        <v>672</v>
      </c>
      <c r="I129" s="14" t="s">
        <v>672</v>
      </c>
      <c r="J129" s="14" t="s">
        <v>697</v>
      </c>
      <c r="K129" s="14" t="s">
        <v>698</v>
      </c>
      <c r="L129" s="15" t="n">
        <f aca="false">IF(C129=1,0,CHOOSE(C129-1,Reglas!$C$6,Reglas!$C$7,Reglas!$C$8,Reglas!$C$9))</f>
        <v>6</v>
      </c>
      <c r="M129" s="16" t="s">
        <v>70</v>
      </c>
      <c r="N129" s="16" t="n">
        <v>3</v>
      </c>
      <c r="O129" s="16" t="s">
        <v>124</v>
      </c>
      <c r="P129" s="14" t="s">
        <v>699</v>
      </c>
      <c r="Q129" s="15"/>
    </row>
    <row r="130" customFormat="false" ht="23.85" hidden="false" customHeight="false" outlineLevel="0" collapsed="false">
      <c r="A130" s="12" t="s">
        <v>700</v>
      </c>
      <c r="B130" s="13" t="s">
        <v>701</v>
      </c>
      <c r="C130" s="12" t="n">
        <v>5</v>
      </c>
      <c r="D130" s="12" t="n">
        <f aca="false">IF(Q130="Sí",0,C130*Reglas!$C$5)</f>
        <v>100</v>
      </c>
      <c r="E130" s="14" t="s">
        <v>64</v>
      </c>
      <c r="F130" s="14" t="s">
        <v>671</v>
      </c>
      <c r="G130" s="12" t="s">
        <v>66</v>
      </c>
      <c r="H130" s="14" t="s">
        <v>677</v>
      </c>
      <c r="I130" s="14" t="s">
        <v>677</v>
      </c>
      <c r="J130" s="14" t="s">
        <v>702</v>
      </c>
      <c r="K130" s="14" t="s">
        <v>703</v>
      </c>
      <c r="L130" s="15" t="n">
        <f aca="false">IF(C130=1,0,CHOOSE(C130-1,Reglas!$C$6,Reglas!$C$7,Reglas!$C$8,Reglas!$C$9))</f>
        <v>6</v>
      </c>
      <c r="M130" s="16" t="s">
        <v>70</v>
      </c>
      <c r="N130" s="16" t="n">
        <v>3</v>
      </c>
      <c r="O130" s="16" t="s">
        <v>124</v>
      </c>
      <c r="P130" s="14" t="s">
        <v>704</v>
      </c>
      <c r="Q130" s="15"/>
    </row>
    <row r="131" customFormat="false" ht="15" hidden="false" customHeight="false" outlineLevel="0" collapsed="false">
      <c r="A131" s="15" t="s">
        <v>705</v>
      </c>
      <c r="B131" s="17" t="s">
        <v>706</v>
      </c>
      <c r="C131" s="15" t="n">
        <v>3</v>
      </c>
      <c r="D131" s="15" t="n">
        <f aca="false">IF(Q131="Sí",0,C131*Reglas!$C$5)</f>
        <v>60</v>
      </c>
      <c r="E131" s="14" t="s">
        <v>64</v>
      </c>
      <c r="F131" s="14" t="s">
        <v>671</v>
      </c>
      <c r="G131" s="15" t="s">
        <v>102</v>
      </c>
      <c r="H131" s="14" t="s">
        <v>672</v>
      </c>
      <c r="I131" s="14" t="s">
        <v>672</v>
      </c>
      <c r="J131" s="14" t="s">
        <v>707</v>
      </c>
      <c r="K131" s="14" t="s">
        <v>683</v>
      </c>
      <c r="L131" s="15" t="n">
        <f aca="false">IF(C131=1,0,CHOOSE(C131-1,Reglas!$C$6,Reglas!$C$7,Reglas!$C$8,Reglas!$C$9))</f>
        <v>5</v>
      </c>
      <c r="M131" s="16" t="s">
        <v>70</v>
      </c>
      <c r="N131" s="16" t="n">
        <v>3</v>
      </c>
      <c r="O131" s="16" t="s">
        <v>71</v>
      </c>
      <c r="P131" s="14" t="s">
        <v>708</v>
      </c>
      <c r="Q131" s="15"/>
    </row>
    <row r="132" customFormat="false" ht="23.85" hidden="false" customHeight="false" outlineLevel="0" collapsed="false">
      <c r="A132" s="15" t="s">
        <v>709</v>
      </c>
      <c r="B132" s="17" t="s">
        <v>710</v>
      </c>
      <c r="C132" s="15" t="n">
        <v>3</v>
      </c>
      <c r="D132" s="15" t="n">
        <f aca="false">IF(Q132="Sí",0,C132*Reglas!$C$5)</f>
        <v>60</v>
      </c>
      <c r="E132" s="14" t="s">
        <v>64</v>
      </c>
      <c r="F132" s="14" t="s">
        <v>671</v>
      </c>
      <c r="G132" s="15" t="s">
        <v>102</v>
      </c>
      <c r="H132" s="14" t="s">
        <v>672</v>
      </c>
      <c r="I132" s="14" t="s">
        <v>672</v>
      </c>
      <c r="J132" s="14" t="s">
        <v>711</v>
      </c>
      <c r="K132" s="14" t="s">
        <v>683</v>
      </c>
      <c r="L132" s="15" t="n">
        <f aca="false">IF(C132=1,0,CHOOSE(C132-1,Reglas!$C$6,Reglas!$C$7,Reglas!$C$8,Reglas!$C$9))</f>
        <v>5</v>
      </c>
      <c r="M132" s="16" t="s">
        <v>70</v>
      </c>
      <c r="N132" s="16" t="n">
        <v>3</v>
      </c>
      <c r="O132" s="16" t="s">
        <v>124</v>
      </c>
      <c r="P132" s="14" t="s">
        <v>712</v>
      </c>
      <c r="Q132" s="15"/>
    </row>
    <row r="133" customFormat="false" ht="23.85" hidden="false" customHeight="false" outlineLevel="0" collapsed="false">
      <c r="A133" s="15" t="s">
        <v>713</v>
      </c>
      <c r="B133" s="17" t="s">
        <v>714</v>
      </c>
      <c r="C133" s="15" t="n">
        <v>3</v>
      </c>
      <c r="D133" s="15" t="n">
        <f aca="false">IF(Q133="Sí",0,C133*Reglas!$C$5)</f>
        <v>60</v>
      </c>
      <c r="E133" s="14" t="s">
        <v>64</v>
      </c>
      <c r="F133" s="14" t="s">
        <v>671</v>
      </c>
      <c r="G133" s="15" t="s">
        <v>102</v>
      </c>
      <c r="H133" s="14" t="s">
        <v>677</v>
      </c>
      <c r="I133" s="14" t="s">
        <v>677</v>
      </c>
      <c r="J133" s="14" t="s">
        <v>715</v>
      </c>
      <c r="K133" s="14" t="s">
        <v>716</v>
      </c>
      <c r="L133" s="15" t="n">
        <f aca="false">IF(C133=1,0,CHOOSE(C133-1,Reglas!$C$6,Reglas!$C$7,Reglas!$C$8,Reglas!$C$9))</f>
        <v>5</v>
      </c>
      <c r="M133" s="16" t="s">
        <v>70</v>
      </c>
      <c r="N133" s="16" t="n">
        <v>3</v>
      </c>
      <c r="O133" s="16" t="s">
        <v>71</v>
      </c>
      <c r="P133" s="14" t="s">
        <v>717</v>
      </c>
      <c r="Q133" s="15"/>
    </row>
    <row r="134" customFormat="false" ht="23.85" hidden="false" customHeight="false" outlineLevel="0" collapsed="false">
      <c r="A134" s="15" t="s">
        <v>718</v>
      </c>
      <c r="B134" s="17" t="s">
        <v>719</v>
      </c>
      <c r="C134" s="15" t="n">
        <v>4</v>
      </c>
      <c r="D134" s="15" t="n">
        <f aca="false">IF(Q134="Sí",0,C134*Reglas!$C$5)</f>
        <v>80</v>
      </c>
      <c r="E134" s="14" t="s">
        <v>64</v>
      </c>
      <c r="F134" s="14" t="s">
        <v>671</v>
      </c>
      <c r="G134" s="15" t="s">
        <v>102</v>
      </c>
      <c r="H134" s="14" t="s">
        <v>672</v>
      </c>
      <c r="I134" s="14" t="s">
        <v>672</v>
      </c>
      <c r="J134" s="14" t="s">
        <v>720</v>
      </c>
      <c r="K134" s="14" t="s">
        <v>721</v>
      </c>
      <c r="L134" s="15" t="n">
        <f aca="false">IF(C134=1,0,CHOOSE(C134-1,Reglas!$C$6,Reglas!$C$7,Reglas!$C$8,Reglas!$C$9))</f>
        <v>6</v>
      </c>
      <c r="M134" s="16" t="s">
        <v>70</v>
      </c>
      <c r="N134" s="16" t="n">
        <v>3</v>
      </c>
      <c r="O134" s="16" t="s">
        <v>124</v>
      </c>
      <c r="P134" s="14" t="s">
        <v>722</v>
      </c>
      <c r="Q134" s="15"/>
    </row>
    <row r="135" customFormat="false" ht="23.85" hidden="false" customHeight="false" outlineLevel="0" collapsed="false">
      <c r="A135" s="15" t="s">
        <v>723</v>
      </c>
      <c r="B135" s="17" t="s">
        <v>724</v>
      </c>
      <c r="C135" s="15" t="n">
        <v>5</v>
      </c>
      <c r="D135" s="15" t="n">
        <f aca="false">IF(Q135="Sí",0,C135*Reglas!$C$5)</f>
        <v>100</v>
      </c>
      <c r="E135" s="14" t="s">
        <v>64</v>
      </c>
      <c r="F135" s="14" t="s">
        <v>671</v>
      </c>
      <c r="G135" s="15" t="s">
        <v>102</v>
      </c>
      <c r="H135" s="14" t="s">
        <v>672</v>
      </c>
      <c r="I135" s="14" t="s">
        <v>672</v>
      </c>
      <c r="J135" s="14" t="s">
        <v>725</v>
      </c>
      <c r="K135" s="14" t="s">
        <v>726</v>
      </c>
      <c r="L135" s="15" t="n">
        <f aca="false">IF(C135=1,0,CHOOSE(C135-1,Reglas!$C$6,Reglas!$C$7,Reglas!$C$8,Reglas!$C$9))</f>
        <v>6</v>
      </c>
      <c r="M135" s="16" t="s">
        <v>70</v>
      </c>
      <c r="N135" s="16" t="n">
        <v>3</v>
      </c>
      <c r="O135" s="16" t="s">
        <v>124</v>
      </c>
      <c r="P135" s="14" t="s">
        <v>727</v>
      </c>
      <c r="Q135" s="15"/>
    </row>
    <row r="136" customFormat="false" ht="15" hidden="false" customHeight="false" outlineLevel="0" collapsed="false">
      <c r="A136" s="12" t="s">
        <v>728</v>
      </c>
      <c r="B136" s="13" t="s">
        <v>729</v>
      </c>
      <c r="C136" s="12" t="n">
        <v>1</v>
      </c>
      <c r="D136" s="12" t="n">
        <f aca="false">IF(Q136="Sí",0,C136*Reglas!$C$5)</f>
        <v>20</v>
      </c>
      <c r="E136" s="14" t="s">
        <v>650</v>
      </c>
      <c r="F136" s="14" t="s">
        <v>730</v>
      </c>
      <c r="G136" s="12" t="s">
        <v>66</v>
      </c>
      <c r="H136" s="14" t="s">
        <v>731</v>
      </c>
      <c r="I136" s="14" t="s">
        <v>732</v>
      </c>
      <c r="J136" s="14" t="s">
        <v>733</v>
      </c>
      <c r="K136" s="14" t="s">
        <v>69</v>
      </c>
      <c r="L136" s="15" t="n">
        <f aca="false">IF(C136=1,0,CHOOSE(C136-1,Reglas!$C$6,Reglas!$C$7,Reglas!$C$8,Reglas!$C$9))</f>
        <v>0</v>
      </c>
      <c r="M136" s="16" t="s">
        <v>70</v>
      </c>
      <c r="N136" s="16" t="n">
        <v>5</v>
      </c>
      <c r="O136" s="16" t="s">
        <v>71</v>
      </c>
      <c r="P136" s="14" t="s">
        <v>734</v>
      </c>
      <c r="Q136" s="15"/>
    </row>
    <row r="137" customFormat="false" ht="15" hidden="false" customHeight="false" outlineLevel="0" collapsed="false">
      <c r="A137" s="12" t="s">
        <v>735</v>
      </c>
      <c r="B137" s="13" t="s">
        <v>736</v>
      </c>
      <c r="C137" s="12" t="n">
        <v>2</v>
      </c>
      <c r="D137" s="12" t="n">
        <f aca="false">IF(Q137="Sí",0,C137*Reglas!$C$5)</f>
        <v>40</v>
      </c>
      <c r="E137" s="14" t="s">
        <v>650</v>
      </c>
      <c r="F137" s="14" t="s">
        <v>730</v>
      </c>
      <c r="G137" s="12" t="s">
        <v>66</v>
      </c>
      <c r="H137" s="14" t="s">
        <v>731</v>
      </c>
      <c r="I137" s="14" t="s">
        <v>732</v>
      </c>
      <c r="J137" s="14" t="s">
        <v>737</v>
      </c>
      <c r="K137" s="14" t="s">
        <v>738</v>
      </c>
      <c r="L137" s="15" t="n">
        <f aca="false">IF(C137=1,0,CHOOSE(C137-1,Reglas!$C$6,Reglas!$C$7,Reglas!$C$8,Reglas!$C$9))</f>
        <v>3</v>
      </c>
      <c r="M137" s="16" t="s">
        <v>70</v>
      </c>
      <c r="N137" s="16" t="n">
        <v>4</v>
      </c>
      <c r="O137" s="16" t="s">
        <v>71</v>
      </c>
      <c r="P137" s="14" t="s">
        <v>739</v>
      </c>
      <c r="Q137" s="15"/>
    </row>
    <row r="138" customFormat="false" ht="15" hidden="false" customHeight="false" outlineLevel="0" collapsed="false">
      <c r="A138" s="12" t="s">
        <v>740</v>
      </c>
      <c r="B138" s="13" t="s">
        <v>741</v>
      </c>
      <c r="C138" s="12" t="n">
        <v>3</v>
      </c>
      <c r="D138" s="12" t="n">
        <f aca="false">IF(Q138="Sí",0,C138*Reglas!$C$5)</f>
        <v>60</v>
      </c>
      <c r="E138" s="14" t="s">
        <v>650</v>
      </c>
      <c r="F138" s="14" t="s">
        <v>730</v>
      </c>
      <c r="G138" s="12" t="s">
        <v>66</v>
      </c>
      <c r="H138" s="14" t="s">
        <v>731</v>
      </c>
      <c r="I138" s="14" t="s">
        <v>732</v>
      </c>
      <c r="J138" s="14" t="s">
        <v>742</v>
      </c>
      <c r="K138" s="14" t="s">
        <v>743</v>
      </c>
      <c r="L138" s="15" t="n">
        <f aca="false">IF(C138=1,0,CHOOSE(C138-1,Reglas!$C$6,Reglas!$C$7,Reglas!$C$8,Reglas!$C$9))</f>
        <v>5</v>
      </c>
      <c r="M138" s="16" t="s">
        <v>70</v>
      </c>
      <c r="N138" s="16" t="n">
        <v>4</v>
      </c>
      <c r="O138" s="16" t="s">
        <v>71</v>
      </c>
      <c r="P138" s="14" t="s">
        <v>744</v>
      </c>
      <c r="Q138" s="15"/>
    </row>
    <row r="139" customFormat="false" ht="23.85" hidden="false" customHeight="false" outlineLevel="0" collapsed="false">
      <c r="A139" s="12" t="s">
        <v>745</v>
      </c>
      <c r="B139" s="13" t="s">
        <v>746</v>
      </c>
      <c r="C139" s="12" t="n">
        <v>3</v>
      </c>
      <c r="D139" s="12" t="n">
        <f aca="false">IF(Q139="Sí",0,C139*Reglas!$C$5)</f>
        <v>60</v>
      </c>
      <c r="E139" s="14" t="s">
        <v>650</v>
      </c>
      <c r="F139" s="14" t="s">
        <v>730</v>
      </c>
      <c r="G139" s="12" t="s">
        <v>66</v>
      </c>
      <c r="H139" s="14" t="s">
        <v>731</v>
      </c>
      <c r="I139" s="14" t="s">
        <v>732</v>
      </c>
      <c r="J139" s="14" t="s">
        <v>747</v>
      </c>
      <c r="K139" s="14" t="s">
        <v>743</v>
      </c>
      <c r="L139" s="15" t="n">
        <f aca="false">IF(C139=1,0,CHOOSE(C139-1,Reglas!$C$6,Reglas!$C$7,Reglas!$C$8,Reglas!$C$9))</f>
        <v>5</v>
      </c>
      <c r="M139" s="16" t="s">
        <v>70</v>
      </c>
      <c r="N139" s="16" t="n">
        <v>4</v>
      </c>
      <c r="O139" s="16" t="s">
        <v>71</v>
      </c>
      <c r="P139" s="14" t="s">
        <v>748</v>
      </c>
      <c r="Q139" s="15"/>
    </row>
    <row r="140" customFormat="false" ht="23.85" hidden="false" customHeight="false" outlineLevel="0" collapsed="false">
      <c r="A140" s="12" t="s">
        <v>749</v>
      </c>
      <c r="B140" s="13" t="s">
        <v>750</v>
      </c>
      <c r="C140" s="12" t="n">
        <v>4</v>
      </c>
      <c r="D140" s="12" t="n">
        <f aca="false">IF(Q140="Sí",0,C140*Reglas!$C$5)</f>
        <v>80</v>
      </c>
      <c r="E140" s="14" t="s">
        <v>650</v>
      </c>
      <c r="F140" s="14" t="s">
        <v>730</v>
      </c>
      <c r="G140" s="12" t="s">
        <v>66</v>
      </c>
      <c r="H140" s="14" t="s">
        <v>751</v>
      </c>
      <c r="I140" s="14" t="s">
        <v>651</v>
      </c>
      <c r="J140" s="14" t="s">
        <v>752</v>
      </c>
      <c r="K140" s="14" t="s">
        <v>753</v>
      </c>
      <c r="L140" s="15" t="n">
        <f aca="false">IF(C140=1,0,CHOOSE(C140-1,Reglas!$C$6,Reglas!$C$7,Reglas!$C$8,Reglas!$C$9))</f>
        <v>6</v>
      </c>
      <c r="M140" s="16" t="s">
        <v>70</v>
      </c>
      <c r="N140" s="16" t="n">
        <v>4</v>
      </c>
      <c r="O140" s="16" t="s">
        <v>124</v>
      </c>
      <c r="P140" s="14" t="s">
        <v>754</v>
      </c>
      <c r="Q140" s="15"/>
    </row>
    <row r="141" customFormat="false" ht="15" hidden="false" customHeight="false" outlineLevel="0" collapsed="false">
      <c r="A141" s="12" t="s">
        <v>755</v>
      </c>
      <c r="B141" s="13" t="s">
        <v>756</v>
      </c>
      <c r="C141" s="12" t="n">
        <v>4</v>
      </c>
      <c r="D141" s="12" t="n">
        <f aca="false">IF(Q141="Sí",0,C141*Reglas!$C$5)</f>
        <v>80</v>
      </c>
      <c r="E141" s="14" t="s">
        <v>650</v>
      </c>
      <c r="F141" s="14" t="s">
        <v>730</v>
      </c>
      <c r="G141" s="12" t="s">
        <v>66</v>
      </c>
      <c r="H141" s="14" t="s">
        <v>757</v>
      </c>
      <c r="I141" s="14" t="s">
        <v>651</v>
      </c>
      <c r="J141" s="14" t="s">
        <v>758</v>
      </c>
      <c r="K141" s="14" t="s">
        <v>759</v>
      </c>
      <c r="L141" s="15" t="n">
        <f aca="false">IF(C141=1,0,CHOOSE(C141-1,Reglas!$C$6,Reglas!$C$7,Reglas!$C$8,Reglas!$C$9))</f>
        <v>6</v>
      </c>
      <c r="M141" s="16" t="s">
        <v>70</v>
      </c>
      <c r="N141" s="16" t="n">
        <v>3</v>
      </c>
      <c r="O141" s="16" t="s">
        <v>124</v>
      </c>
      <c r="P141" s="14" t="s">
        <v>760</v>
      </c>
      <c r="Q141" s="15"/>
    </row>
    <row r="142" customFormat="false" ht="15" hidden="false" customHeight="false" outlineLevel="0" collapsed="false">
      <c r="A142" s="12" t="s">
        <v>761</v>
      </c>
      <c r="B142" s="13" t="s">
        <v>762</v>
      </c>
      <c r="C142" s="12" t="n">
        <v>5</v>
      </c>
      <c r="D142" s="12" t="n">
        <f aca="false">IF(Q142="Sí",0,C142*Reglas!$C$5)</f>
        <v>100</v>
      </c>
      <c r="E142" s="14" t="s">
        <v>650</v>
      </c>
      <c r="F142" s="14" t="s">
        <v>730</v>
      </c>
      <c r="G142" s="12" t="s">
        <v>66</v>
      </c>
      <c r="H142" s="14" t="s">
        <v>731</v>
      </c>
      <c r="I142" s="14" t="s">
        <v>732</v>
      </c>
      <c r="J142" s="14" t="s">
        <v>763</v>
      </c>
      <c r="K142" s="14" t="s">
        <v>764</v>
      </c>
      <c r="L142" s="15" t="n">
        <f aca="false">IF(C142=1,0,CHOOSE(C142-1,Reglas!$C$6,Reglas!$C$7,Reglas!$C$8,Reglas!$C$9))</f>
        <v>6</v>
      </c>
      <c r="M142" s="16" t="s">
        <v>70</v>
      </c>
      <c r="N142" s="16" t="n">
        <v>3</v>
      </c>
      <c r="O142" s="16" t="s">
        <v>71</v>
      </c>
      <c r="P142" s="14" t="s">
        <v>765</v>
      </c>
      <c r="Q142" s="15"/>
    </row>
    <row r="143" customFormat="false" ht="15" hidden="false" customHeight="false" outlineLevel="0" collapsed="false">
      <c r="A143" s="15" t="s">
        <v>766</v>
      </c>
      <c r="B143" s="17" t="s">
        <v>767</v>
      </c>
      <c r="C143" s="15" t="n">
        <v>3</v>
      </c>
      <c r="D143" s="15" t="n">
        <f aca="false">IF(Q143="Sí",0,C143*Reglas!$C$5)</f>
        <v>60</v>
      </c>
      <c r="E143" s="14" t="s">
        <v>650</v>
      </c>
      <c r="F143" s="14" t="s">
        <v>730</v>
      </c>
      <c r="G143" s="15" t="s">
        <v>102</v>
      </c>
      <c r="H143" s="14" t="s">
        <v>768</v>
      </c>
      <c r="I143" s="14" t="s">
        <v>651</v>
      </c>
      <c r="J143" s="14" t="s">
        <v>769</v>
      </c>
      <c r="K143" s="14" t="s">
        <v>738</v>
      </c>
      <c r="L143" s="15" t="n">
        <f aca="false">IF(C143=1,0,CHOOSE(C143-1,Reglas!$C$6,Reglas!$C$7,Reglas!$C$8,Reglas!$C$9))</f>
        <v>5</v>
      </c>
      <c r="M143" s="16" t="s">
        <v>70</v>
      </c>
      <c r="N143" s="16" t="n">
        <v>4</v>
      </c>
      <c r="O143" s="16" t="s">
        <v>124</v>
      </c>
      <c r="P143" s="14" t="s">
        <v>770</v>
      </c>
      <c r="Q143" s="15"/>
    </row>
    <row r="144" customFormat="false" ht="15" hidden="false" customHeight="false" outlineLevel="0" collapsed="false">
      <c r="A144" s="15" t="s">
        <v>771</v>
      </c>
      <c r="B144" s="17" t="s">
        <v>772</v>
      </c>
      <c r="C144" s="15" t="n">
        <v>3</v>
      </c>
      <c r="D144" s="15" t="n">
        <f aca="false">IF(Q144="Sí",0,C144*Reglas!$C$5)</f>
        <v>60</v>
      </c>
      <c r="E144" s="14" t="s">
        <v>650</v>
      </c>
      <c r="F144" s="14" t="s">
        <v>730</v>
      </c>
      <c r="G144" s="15" t="s">
        <v>102</v>
      </c>
      <c r="H144" s="14" t="s">
        <v>773</v>
      </c>
      <c r="I144" s="14" t="s">
        <v>651</v>
      </c>
      <c r="J144" s="14" t="s">
        <v>774</v>
      </c>
      <c r="K144" s="14" t="s">
        <v>743</v>
      </c>
      <c r="L144" s="15" t="n">
        <f aca="false">IF(C144=1,0,CHOOSE(C144-1,Reglas!$C$6,Reglas!$C$7,Reglas!$C$8,Reglas!$C$9))</f>
        <v>5</v>
      </c>
      <c r="M144" s="16" t="s">
        <v>70</v>
      </c>
      <c r="N144" s="16" t="n">
        <v>4</v>
      </c>
      <c r="O144" s="16" t="s">
        <v>124</v>
      </c>
      <c r="P144" s="14" t="s">
        <v>775</v>
      </c>
      <c r="Q144" s="15"/>
    </row>
    <row r="145" customFormat="false" ht="15" hidden="false" customHeight="false" outlineLevel="0" collapsed="false">
      <c r="A145" s="15" t="s">
        <v>776</v>
      </c>
      <c r="B145" s="17" t="s">
        <v>777</v>
      </c>
      <c r="C145" s="15" t="n">
        <v>3</v>
      </c>
      <c r="D145" s="15" t="n">
        <f aca="false">IF(Q145="Sí",0,C145*Reglas!$C$5)</f>
        <v>60</v>
      </c>
      <c r="E145" s="14" t="s">
        <v>650</v>
      </c>
      <c r="F145" s="14" t="s">
        <v>730</v>
      </c>
      <c r="G145" s="15" t="s">
        <v>102</v>
      </c>
      <c r="H145" s="14" t="s">
        <v>778</v>
      </c>
      <c r="I145" s="14" t="s">
        <v>651</v>
      </c>
      <c r="J145" s="14" t="s">
        <v>779</v>
      </c>
      <c r="K145" s="14" t="s">
        <v>213</v>
      </c>
      <c r="L145" s="15" t="n">
        <f aca="false">IF(C145=1,0,CHOOSE(C145-1,Reglas!$C$6,Reglas!$C$7,Reglas!$C$8,Reglas!$C$9))</f>
        <v>5</v>
      </c>
      <c r="M145" s="16" t="s">
        <v>70</v>
      </c>
      <c r="N145" s="16" t="n">
        <v>3</v>
      </c>
      <c r="O145" s="16" t="s">
        <v>124</v>
      </c>
      <c r="P145" s="14" t="s">
        <v>780</v>
      </c>
      <c r="Q145" s="15"/>
    </row>
    <row r="146" customFormat="false" ht="23.85" hidden="false" customHeight="false" outlineLevel="0" collapsed="false">
      <c r="A146" s="15" t="s">
        <v>781</v>
      </c>
      <c r="B146" s="17" t="s">
        <v>782</v>
      </c>
      <c r="C146" s="15" t="n">
        <v>3</v>
      </c>
      <c r="D146" s="15" t="n">
        <f aca="false">IF(Q146="Sí",0,C146*Reglas!$C$5)</f>
        <v>60</v>
      </c>
      <c r="E146" s="14" t="s">
        <v>650</v>
      </c>
      <c r="F146" s="14" t="s">
        <v>730</v>
      </c>
      <c r="G146" s="15" t="s">
        <v>102</v>
      </c>
      <c r="H146" s="14" t="s">
        <v>783</v>
      </c>
      <c r="I146" s="14" t="s">
        <v>732</v>
      </c>
      <c r="J146" s="14" t="s">
        <v>784</v>
      </c>
      <c r="K146" s="14" t="s">
        <v>743</v>
      </c>
      <c r="L146" s="15" t="n">
        <f aca="false">IF(C146=1,0,CHOOSE(C146-1,Reglas!$C$6,Reglas!$C$7,Reglas!$C$8,Reglas!$C$9))</f>
        <v>5</v>
      </c>
      <c r="M146" s="16" t="s">
        <v>70</v>
      </c>
      <c r="N146" s="16" t="n">
        <v>4</v>
      </c>
      <c r="O146" s="16" t="s">
        <v>124</v>
      </c>
      <c r="P146" s="14" t="s">
        <v>785</v>
      </c>
      <c r="Q146" s="15"/>
    </row>
    <row r="147" customFormat="false" ht="23.85" hidden="false" customHeight="false" outlineLevel="0" collapsed="false">
      <c r="A147" s="15" t="s">
        <v>786</v>
      </c>
      <c r="B147" s="17" t="s">
        <v>787</v>
      </c>
      <c r="C147" s="15" t="n">
        <v>3</v>
      </c>
      <c r="D147" s="15" t="n">
        <f aca="false">IF(Q147="Sí",0,C147*Reglas!$C$5)</f>
        <v>60</v>
      </c>
      <c r="E147" s="14" t="s">
        <v>650</v>
      </c>
      <c r="F147" s="14" t="s">
        <v>730</v>
      </c>
      <c r="G147" s="15" t="s">
        <v>102</v>
      </c>
      <c r="H147" s="14" t="s">
        <v>783</v>
      </c>
      <c r="I147" s="14" t="s">
        <v>732</v>
      </c>
      <c r="J147" s="14" t="s">
        <v>788</v>
      </c>
      <c r="K147" s="14" t="s">
        <v>738</v>
      </c>
      <c r="L147" s="15" t="n">
        <f aca="false">IF(C147=1,0,CHOOSE(C147-1,Reglas!$C$6,Reglas!$C$7,Reglas!$C$8,Reglas!$C$9))</f>
        <v>5</v>
      </c>
      <c r="M147" s="16" t="s">
        <v>70</v>
      </c>
      <c r="N147" s="16" t="n">
        <v>4</v>
      </c>
      <c r="O147" s="16" t="s">
        <v>155</v>
      </c>
      <c r="P147" s="14" t="s">
        <v>789</v>
      </c>
      <c r="Q147" s="15"/>
    </row>
    <row r="148" customFormat="false" ht="23.85" hidden="false" customHeight="false" outlineLevel="0" collapsed="false">
      <c r="A148" s="15" t="s">
        <v>790</v>
      </c>
      <c r="B148" s="17" t="s">
        <v>791</v>
      </c>
      <c r="C148" s="15" t="n">
        <v>4</v>
      </c>
      <c r="D148" s="15" t="n">
        <f aca="false">IF(Q148="Sí",0,C148*Reglas!$C$5)</f>
        <v>80</v>
      </c>
      <c r="E148" s="14" t="s">
        <v>650</v>
      </c>
      <c r="F148" s="14" t="s">
        <v>730</v>
      </c>
      <c r="G148" s="15" t="s">
        <v>102</v>
      </c>
      <c r="H148" s="14" t="s">
        <v>768</v>
      </c>
      <c r="I148" s="14" t="s">
        <v>651</v>
      </c>
      <c r="J148" s="14" t="s">
        <v>792</v>
      </c>
      <c r="K148" s="14" t="s">
        <v>793</v>
      </c>
      <c r="L148" s="15" t="n">
        <f aca="false">IF(C148=1,0,CHOOSE(C148-1,Reglas!$C$6,Reglas!$C$7,Reglas!$C$8,Reglas!$C$9))</f>
        <v>6</v>
      </c>
      <c r="M148" s="16" t="s">
        <v>70</v>
      </c>
      <c r="N148" s="16" t="n">
        <v>3</v>
      </c>
      <c r="O148" s="16" t="s">
        <v>124</v>
      </c>
      <c r="P148" s="14" t="s">
        <v>794</v>
      </c>
      <c r="Q148" s="15"/>
    </row>
    <row r="149" customFormat="false" ht="15" hidden="false" customHeight="false" outlineLevel="0" collapsed="false">
      <c r="A149" s="15" t="s">
        <v>795</v>
      </c>
      <c r="B149" s="17" t="s">
        <v>796</v>
      </c>
      <c r="C149" s="15" t="n">
        <v>4</v>
      </c>
      <c r="D149" s="15" t="n">
        <f aca="false">IF(Q149="Sí",0,C149*Reglas!$C$5)</f>
        <v>80</v>
      </c>
      <c r="E149" s="14" t="s">
        <v>650</v>
      </c>
      <c r="F149" s="14" t="s">
        <v>730</v>
      </c>
      <c r="G149" s="15" t="s">
        <v>102</v>
      </c>
      <c r="H149" s="14" t="s">
        <v>751</v>
      </c>
      <c r="I149" s="14" t="s">
        <v>651</v>
      </c>
      <c r="J149" s="14" t="s">
        <v>797</v>
      </c>
      <c r="K149" s="14" t="s">
        <v>753</v>
      </c>
      <c r="L149" s="15" t="n">
        <f aca="false">IF(C149=1,0,CHOOSE(C149-1,Reglas!$C$6,Reglas!$C$7,Reglas!$C$8,Reglas!$C$9))</f>
        <v>6</v>
      </c>
      <c r="M149" s="16" t="s">
        <v>70</v>
      </c>
      <c r="N149" s="16" t="n">
        <v>3</v>
      </c>
      <c r="O149" s="16" t="s">
        <v>124</v>
      </c>
      <c r="P149" s="14" t="s">
        <v>798</v>
      </c>
      <c r="Q149" s="15"/>
    </row>
    <row r="150" customFormat="false" ht="15" hidden="false" customHeight="false" outlineLevel="0" collapsed="false">
      <c r="A150" s="15" t="s">
        <v>799</v>
      </c>
      <c r="B150" s="17" t="s">
        <v>800</v>
      </c>
      <c r="C150" s="15" t="n">
        <v>4</v>
      </c>
      <c r="D150" s="15" t="n">
        <f aca="false">IF(Q150="Sí",0,C150*Reglas!$C$5)</f>
        <v>80</v>
      </c>
      <c r="E150" s="14" t="s">
        <v>650</v>
      </c>
      <c r="F150" s="14" t="s">
        <v>730</v>
      </c>
      <c r="G150" s="15" t="s">
        <v>102</v>
      </c>
      <c r="H150" s="14" t="s">
        <v>773</v>
      </c>
      <c r="I150" s="14" t="s">
        <v>651</v>
      </c>
      <c r="J150" s="14" t="s">
        <v>801</v>
      </c>
      <c r="K150" s="14" t="s">
        <v>802</v>
      </c>
      <c r="L150" s="15" t="n">
        <f aca="false">IF(C150=1,0,CHOOSE(C150-1,Reglas!$C$6,Reglas!$C$7,Reglas!$C$8,Reglas!$C$9))</f>
        <v>6</v>
      </c>
      <c r="M150" s="16" t="s">
        <v>70</v>
      </c>
      <c r="N150" s="16" t="n">
        <v>3</v>
      </c>
      <c r="O150" s="16" t="s">
        <v>71</v>
      </c>
      <c r="P150" s="14" t="s">
        <v>803</v>
      </c>
      <c r="Q150" s="15"/>
    </row>
    <row r="151" customFormat="false" ht="15" hidden="false" customHeight="false" outlineLevel="0" collapsed="false">
      <c r="A151" s="15" t="s">
        <v>804</v>
      </c>
      <c r="B151" s="17" t="s">
        <v>805</v>
      </c>
      <c r="C151" s="15" t="n">
        <v>4</v>
      </c>
      <c r="D151" s="15" t="n">
        <f aca="false">IF(Q151="Sí",0,C151*Reglas!$C$5)</f>
        <v>80</v>
      </c>
      <c r="E151" s="14" t="s">
        <v>650</v>
      </c>
      <c r="F151" s="14" t="s">
        <v>730</v>
      </c>
      <c r="G151" s="15" t="s">
        <v>102</v>
      </c>
      <c r="H151" s="14" t="s">
        <v>783</v>
      </c>
      <c r="I151" s="14" t="s">
        <v>732</v>
      </c>
      <c r="J151" s="14" t="s">
        <v>806</v>
      </c>
      <c r="K151" s="14" t="s">
        <v>807</v>
      </c>
      <c r="L151" s="15" t="n">
        <f aca="false">IF(C151=1,0,CHOOSE(C151-1,Reglas!$C$6,Reglas!$C$7,Reglas!$C$8,Reglas!$C$9))</f>
        <v>6</v>
      </c>
      <c r="M151" s="16" t="s">
        <v>70</v>
      </c>
      <c r="N151" s="16" t="n">
        <v>3</v>
      </c>
      <c r="O151" s="16" t="s">
        <v>124</v>
      </c>
      <c r="P151" s="14" t="s">
        <v>808</v>
      </c>
      <c r="Q151" s="15"/>
    </row>
    <row r="152" customFormat="false" ht="15" hidden="false" customHeight="false" outlineLevel="0" collapsed="false">
      <c r="A152" s="15" t="s">
        <v>809</v>
      </c>
      <c r="B152" s="17" t="s">
        <v>810</v>
      </c>
      <c r="C152" s="15" t="n">
        <v>4</v>
      </c>
      <c r="D152" s="15" t="n">
        <f aca="false">IF(Q152="Sí",0,C152*Reglas!$C$5)</f>
        <v>80</v>
      </c>
      <c r="E152" s="14" t="s">
        <v>650</v>
      </c>
      <c r="F152" s="14" t="s">
        <v>730</v>
      </c>
      <c r="G152" s="15" t="s">
        <v>102</v>
      </c>
      <c r="H152" s="14" t="s">
        <v>783</v>
      </c>
      <c r="I152" s="14" t="s">
        <v>732</v>
      </c>
      <c r="J152" s="14" t="s">
        <v>811</v>
      </c>
      <c r="K152" s="14" t="s">
        <v>812</v>
      </c>
      <c r="L152" s="15" t="n">
        <f aca="false">IF(C152=1,0,CHOOSE(C152-1,Reglas!$C$6,Reglas!$C$7,Reglas!$C$8,Reglas!$C$9))</f>
        <v>6</v>
      </c>
      <c r="M152" s="16" t="s">
        <v>70</v>
      </c>
      <c r="N152" s="16" t="n">
        <v>3</v>
      </c>
      <c r="O152" s="16" t="s">
        <v>155</v>
      </c>
      <c r="P152" s="14" t="s">
        <v>813</v>
      </c>
      <c r="Q152" s="15"/>
    </row>
    <row r="153" customFormat="false" ht="15" hidden="false" customHeight="false" outlineLevel="0" collapsed="false">
      <c r="A153" s="15" t="s">
        <v>814</v>
      </c>
      <c r="B153" s="17" t="s">
        <v>815</v>
      </c>
      <c r="C153" s="15" t="n">
        <v>5</v>
      </c>
      <c r="D153" s="15" t="n">
        <f aca="false">IF(Q153="Sí",0,C153*Reglas!$C$5)</f>
        <v>100</v>
      </c>
      <c r="E153" s="14" t="s">
        <v>650</v>
      </c>
      <c r="F153" s="14" t="s">
        <v>730</v>
      </c>
      <c r="G153" s="15" t="s">
        <v>102</v>
      </c>
      <c r="H153" s="14" t="s">
        <v>768</v>
      </c>
      <c r="I153" s="14" t="s">
        <v>651</v>
      </c>
      <c r="J153" s="14" t="s">
        <v>816</v>
      </c>
      <c r="K153" s="14" t="s">
        <v>817</v>
      </c>
      <c r="L153" s="15" t="n">
        <f aca="false">IF(C153=1,0,CHOOSE(C153-1,Reglas!$C$6,Reglas!$C$7,Reglas!$C$8,Reglas!$C$9))</f>
        <v>6</v>
      </c>
      <c r="M153" s="16" t="s">
        <v>70</v>
      </c>
      <c r="N153" s="16" t="n">
        <v>3</v>
      </c>
      <c r="O153" s="16" t="s">
        <v>124</v>
      </c>
      <c r="P153" s="14" t="s">
        <v>818</v>
      </c>
      <c r="Q153" s="15"/>
    </row>
    <row r="154" customFormat="false" ht="23.85" hidden="false" customHeight="false" outlineLevel="0" collapsed="false">
      <c r="A154" s="15" t="s">
        <v>819</v>
      </c>
      <c r="B154" s="17" t="s">
        <v>820</v>
      </c>
      <c r="C154" s="15" t="n">
        <v>5</v>
      </c>
      <c r="D154" s="15" t="n">
        <f aca="false">IF(Q154="Sí",0,C154*Reglas!$C$5)</f>
        <v>100</v>
      </c>
      <c r="E154" s="14" t="s">
        <v>650</v>
      </c>
      <c r="F154" s="14" t="s">
        <v>730</v>
      </c>
      <c r="G154" s="15" t="s">
        <v>102</v>
      </c>
      <c r="H154" s="14" t="s">
        <v>751</v>
      </c>
      <c r="I154" s="14" t="s">
        <v>821</v>
      </c>
      <c r="J154" s="14" t="s">
        <v>822</v>
      </c>
      <c r="K154" s="14" t="s">
        <v>823</v>
      </c>
      <c r="L154" s="15" t="n">
        <f aca="false">IF(C154=1,0,CHOOSE(C154-1,Reglas!$C$6,Reglas!$C$7,Reglas!$C$8,Reglas!$C$9))</f>
        <v>6</v>
      </c>
      <c r="M154" s="16" t="s">
        <v>70</v>
      </c>
      <c r="N154" s="16" t="n">
        <v>3</v>
      </c>
      <c r="O154" s="16" t="s">
        <v>124</v>
      </c>
      <c r="P154" s="14" t="s">
        <v>824</v>
      </c>
      <c r="Q154" s="15"/>
    </row>
    <row r="155" customFormat="false" ht="15" hidden="false" customHeight="false" outlineLevel="0" collapsed="false">
      <c r="A155" s="15" t="s">
        <v>825</v>
      </c>
      <c r="B155" s="17" t="s">
        <v>826</v>
      </c>
      <c r="C155" s="15" t="n">
        <v>5</v>
      </c>
      <c r="D155" s="15" t="n">
        <f aca="false">IF(Q155="Sí",0,C155*Reglas!$C$5)</f>
        <v>100</v>
      </c>
      <c r="E155" s="14" t="s">
        <v>650</v>
      </c>
      <c r="F155" s="14" t="s">
        <v>730</v>
      </c>
      <c r="G155" s="15" t="s">
        <v>102</v>
      </c>
      <c r="H155" s="14" t="s">
        <v>773</v>
      </c>
      <c r="I155" s="14" t="s">
        <v>651</v>
      </c>
      <c r="J155" s="14" t="s">
        <v>827</v>
      </c>
      <c r="K155" s="14" t="s">
        <v>828</v>
      </c>
      <c r="L155" s="15" t="n">
        <f aca="false">IF(C155=1,0,CHOOSE(C155-1,Reglas!$C$6,Reglas!$C$7,Reglas!$C$8,Reglas!$C$9))</f>
        <v>6</v>
      </c>
      <c r="M155" s="16" t="s">
        <v>70</v>
      </c>
      <c r="N155" s="16" t="n">
        <v>2</v>
      </c>
      <c r="O155" s="16" t="s">
        <v>155</v>
      </c>
      <c r="P155" s="14" t="s">
        <v>829</v>
      </c>
      <c r="Q155" s="15"/>
    </row>
    <row r="156" customFormat="false" ht="15" hidden="false" customHeight="false" outlineLevel="0" collapsed="false">
      <c r="A156" s="15" t="s">
        <v>830</v>
      </c>
      <c r="B156" s="17" t="s">
        <v>831</v>
      </c>
      <c r="C156" s="15" t="n">
        <v>5</v>
      </c>
      <c r="D156" s="15" t="n">
        <f aca="false">IF(Q156="Sí",0,C156*Reglas!$C$5)</f>
        <v>100</v>
      </c>
      <c r="E156" s="14" t="s">
        <v>650</v>
      </c>
      <c r="F156" s="14" t="s">
        <v>730</v>
      </c>
      <c r="G156" s="15" t="s">
        <v>102</v>
      </c>
      <c r="H156" s="14" t="s">
        <v>757</v>
      </c>
      <c r="I156" s="14" t="s">
        <v>651</v>
      </c>
      <c r="J156" s="14" t="s">
        <v>832</v>
      </c>
      <c r="K156" s="14" t="s">
        <v>833</v>
      </c>
      <c r="L156" s="15" t="n">
        <f aca="false">IF(C156=1,0,CHOOSE(C156-1,Reglas!$C$6,Reglas!$C$7,Reglas!$C$8,Reglas!$C$9))</f>
        <v>6</v>
      </c>
      <c r="M156" s="16" t="s">
        <v>70</v>
      </c>
      <c r="N156" s="16" t="n">
        <v>3</v>
      </c>
      <c r="O156" s="16" t="s">
        <v>124</v>
      </c>
      <c r="P156" s="14" t="s">
        <v>834</v>
      </c>
      <c r="Q156" s="15"/>
    </row>
    <row r="157" customFormat="false" ht="15" hidden="false" customHeight="false" outlineLevel="0" collapsed="false">
      <c r="A157" s="15" t="s">
        <v>835</v>
      </c>
      <c r="B157" s="17" t="s">
        <v>836</v>
      </c>
      <c r="C157" s="15" t="n">
        <v>5</v>
      </c>
      <c r="D157" s="15" t="n">
        <f aca="false">IF(Q157="Sí",0,C157*Reglas!$C$5)</f>
        <v>100</v>
      </c>
      <c r="E157" s="14" t="s">
        <v>650</v>
      </c>
      <c r="F157" s="14" t="s">
        <v>730</v>
      </c>
      <c r="G157" s="15" t="s">
        <v>102</v>
      </c>
      <c r="H157" s="14" t="s">
        <v>783</v>
      </c>
      <c r="I157" s="14" t="s">
        <v>732</v>
      </c>
      <c r="J157" s="14" t="s">
        <v>837</v>
      </c>
      <c r="K157" s="14" t="s">
        <v>838</v>
      </c>
      <c r="L157" s="15" t="n">
        <f aca="false">IF(C157=1,0,CHOOSE(C157-1,Reglas!$C$6,Reglas!$C$7,Reglas!$C$8,Reglas!$C$9))</f>
        <v>6</v>
      </c>
      <c r="M157" s="16" t="s">
        <v>70</v>
      </c>
      <c r="N157" s="16" t="n">
        <v>3</v>
      </c>
      <c r="O157" s="16" t="s">
        <v>155</v>
      </c>
      <c r="P157" s="14" t="s">
        <v>839</v>
      </c>
      <c r="Q157" s="15"/>
    </row>
    <row r="158" customFormat="false" ht="23.85" hidden="false" customHeight="false" outlineLevel="0" collapsed="false">
      <c r="A158" s="15" t="s">
        <v>840</v>
      </c>
      <c r="B158" s="17" t="s">
        <v>841</v>
      </c>
      <c r="C158" s="15" t="n">
        <v>5</v>
      </c>
      <c r="D158" s="15" t="n">
        <f aca="false">IF(Q158="Sí",0,C158*Reglas!$C$5)</f>
        <v>100</v>
      </c>
      <c r="E158" s="14" t="s">
        <v>650</v>
      </c>
      <c r="F158" s="14" t="s">
        <v>730</v>
      </c>
      <c r="G158" s="15" t="s">
        <v>102</v>
      </c>
      <c r="H158" s="14" t="s">
        <v>783</v>
      </c>
      <c r="I158" s="14" t="s">
        <v>732</v>
      </c>
      <c r="J158" s="14" t="s">
        <v>842</v>
      </c>
      <c r="K158" s="14" t="s">
        <v>843</v>
      </c>
      <c r="L158" s="15" t="n">
        <f aca="false">IF(C158=1,0,CHOOSE(C158-1,Reglas!$C$6,Reglas!$C$7,Reglas!$C$8,Reglas!$C$9))</f>
        <v>6</v>
      </c>
      <c r="M158" s="16" t="s">
        <v>70</v>
      </c>
      <c r="N158" s="16" t="n">
        <v>3</v>
      </c>
      <c r="O158" s="16" t="s">
        <v>155</v>
      </c>
      <c r="P158" s="14" t="s">
        <v>844</v>
      </c>
      <c r="Q158" s="15"/>
    </row>
    <row r="159" customFormat="false" ht="35.05" hidden="false" customHeight="false" outlineLevel="0" collapsed="false">
      <c r="A159" s="12" t="s">
        <v>845</v>
      </c>
      <c r="B159" s="13" t="s">
        <v>846</v>
      </c>
      <c r="C159" s="12" t="n">
        <v>1</v>
      </c>
      <c r="D159" s="12" t="n">
        <f aca="false">IF(Q159="Sí",0,C159*Reglas!$C$5)</f>
        <v>0</v>
      </c>
      <c r="E159" s="14" t="s">
        <v>650</v>
      </c>
      <c r="F159" s="14" t="s">
        <v>847</v>
      </c>
      <c r="G159" s="12" t="s">
        <v>66</v>
      </c>
      <c r="H159" s="14" t="s">
        <v>848</v>
      </c>
      <c r="I159" s="14" t="s">
        <v>104</v>
      </c>
      <c r="J159" s="14" t="s">
        <v>849</v>
      </c>
      <c r="K159" s="14" t="s">
        <v>69</v>
      </c>
      <c r="L159" s="15" t="n">
        <f aca="false">IF(C159=1,0,CHOOSE(C159-1,Reglas!$C$6,Reglas!$C$7,Reglas!$C$8,Reglas!$C$9))</f>
        <v>0</v>
      </c>
      <c r="M159" s="16" t="s">
        <v>106</v>
      </c>
      <c r="N159" s="16" t="n">
        <v>5</v>
      </c>
      <c r="O159" s="16" t="s">
        <v>71</v>
      </c>
      <c r="P159" s="14" t="s">
        <v>850</v>
      </c>
      <c r="Q159" s="15" t="s">
        <v>108</v>
      </c>
    </row>
    <row r="160" customFormat="false" ht="23.85" hidden="false" customHeight="false" outlineLevel="0" collapsed="false">
      <c r="A160" s="12" t="s">
        <v>851</v>
      </c>
      <c r="B160" s="13" t="s">
        <v>852</v>
      </c>
      <c r="C160" s="12" t="n">
        <v>2</v>
      </c>
      <c r="D160" s="12" t="n">
        <f aca="false">IF(Q160="Sí",0,C160*Reglas!$C$5)</f>
        <v>40</v>
      </c>
      <c r="E160" s="14" t="s">
        <v>650</v>
      </c>
      <c r="F160" s="14" t="s">
        <v>847</v>
      </c>
      <c r="G160" s="12" t="s">
        <v>66</v>
      </c>
      <c r="H160" s="14" t="s">
        <v>848</v>
      </c>
      <c r="I160" s="14" t="s">
        <v>111</v>
      </c>
      <c r="J160" s="14" t="s">
        <v>853</v>
      </c>
      <c r="K160" s="14" t="s">
        <v>854</v>
      </c>
      <c r="L160" s="15" t="n">
        <f aca="false">IF(C160=1,0,CHOOSE(C160-1,Reglas!$C$6,Reglas!$C$7,Reglas!$C$8,Reglas!$C$9))</f>
        <v>3</v>
      </c>
      <c r="M160" s="16" t="s">
        <v>70</v>
      </c>
      <c r="N160" s="16" t="n">
        <v>3</v>
      </c>
      <c r="O160" s="16" t="s">
        <v>124</v>
      </c>
      <c r="P160" s="14" t="s">
        <v>855</v>
      </c>
      <c r="Q160" s="15"/>
    </row>
    <row r="161" customFormat="false" ht="23.85" hidden="false" customHeight="false" outlineLevel="0" collapsed="false">
      <c r="A161" s="12" t="s">
        <v>856</v>
      </c>
      <c r="B161" s="13" t="s">
        <v>857</v>
      </c>
      <c r="C161" s="12" t="n">
        <v>2</v>
      </c>
      <c r="D161" s="12" t="n">
        <f aca="false">IF(Q161="Sí",0,C161*Reglas!$C$5)</f>
        <v>40</v>
      </c>
      <c r="E161" s="14" t="s">
        <v>650</v>
      </c>
      <c r="F161" s="14" t="s">
        <v>847</v>
      </c>
      <c r="G161" s="12" t="s">
        <v>66</v>
      </c>
      <c r="H161" s="14" t="s">
        <v>778</v>
      </c>
      <c r="I161" s="14" t="s">
        <v>651</v>
      </c>
      <c r="J161" s="14" t="s">
        <v>858</v>
      </c>
      <c r="K161" s="14" t="s">
        <v>854</v>
      </c>
      <c r="L161" s="15" t="n">
        <f aca="false">IF(C161=1,0,CHOOSE(C161-1,Reglas!$C$6,Reglas!$C$7,Reglas!$C$8,Reglas!$C$9))</f>
        <v>3</v>
      </c>
      <c r="M161" s="16" t="s">
        <v>70</v>
      </c>
      <c r="N161" s="16" t="n">
        <v>4</v>
      </c>
      <c r="O161" s="16" t="s">
        <v>71</v>
      </c>
      <c r="P161" s="14" t="s">
        <v>859</v>
      </c>
      <c r="Q161" s="15"/>
    </row>
    <row r="162" customFormat="false" ht="23.85" hidden="false" customHeight="false" outlineLevel="0" collapsed="false">
      <c r="A162" s="12" t="s">
        <v>860</v>
      </c>
      <c r="B162" s="13" t="s">
        <v>861</v>
      </c>
      <c r="C162" s="12" t="n">
        <v>3</v>
      </c>
      <c r="D162" s="12" t="n">
        <f aca="false">IF(Q162="Sí",0,C162*Reglas!$C$5)</f>
        <v>60</v>
      </c>
      <c r="E162" s="14" t="s">
        <v>650</v>
      </c>
      <c r="F162" s="14" t="s">
        <v>847</v>
      </c>
      <c r="G162" s="12" t="s">
        <v>66</v>
      </c>
      <c r="H162" s="14" t="s">
        <v>848</v>
      </c>
      <c r="I162" s="14" t="s">
        <v>128</v>
      </c>
      <c r="J162" s="14" t="s">
        <v>862</v>
      </c>
      <c r="K162" s="14" t="s">
        <v>863</v>
      </c>
      <c r="L162" s="15" t="n">
        <f aca="false">IF(C162=1,0,CHOOSE(C162-1,Reglas!$C$6,Reglas!$C$7,Reglas!$C$8,Reglas!$C$9))</f>
        <v>5</v>
      </c>
      <c r="M162" s="16" t="s">
        <v>70</v>
      </c>
      <c r="N162" s="16" t="n">
        <v>4</v>
      </c>
      <c r="O162" s="16" t="s">
        <v>124</v>
      </c>
      <c r="P162" s="14" t="s">
        <v>864</v>
      </c>
      <c r="Q162" s="15"/>
    </row>
    <row r="163" customFormat="false" ht="23.85" hidden="false" customHeight="false" outlineLevel="0" collapsed="false">
      <c r="A163" s="12" t="s">
        <v>865</v>
      </c>
      <c r="B163" s="13" t="s">
        <v>866</v>
      </c>
      <c r="C163" s="12" t="n">
        <v>4</v>
      </c>
      <c r="D163" s="12" t="n">
        <f aca="false">IF(Q163="Sí",0,C163*Reglas!$C$5)</f>
        <v>80</v>
      </c>
      <c r="E163" s="14" t="s">
        <v>650</v>
      </c>
      <c r="F163" s="14" t="s">
        <v>847</v>
      </c>
      <c r="G163" s="12" t="s">
        <v>66</v>
      </c>
      <c r="H163" s="14" t="s">
        <v>848</v>
      </c>
      <c r="I163" s="14" t="s">
        <v>128</v>
      </c>
      <c r="J163" s="14" t="s">
        <v>867</v>
      </c>
      <c r="K163" s="14" t="s">
        <v>868</v>
      </c>
      <c r="L163" s="15" t="n">
        <f aca="false">IF(C163=1,0,CHOOSE(C163-1,Reglas!$C$6,Reglas!$C$7,Reglas!$C$8,Reglas!$C$9))</f>
        <v>6</v>
      </c>
      <c r="M163" s="16" t="s">
        <v>70</v>
      </c>
      <c r="N163" s="16" t="n">
        <v>3</v>
      </c>
      <c r="O163" s="16" t="s">
        <v>124</v>
      </c>
      <c r="P163" s="14" t="s">
        <v>869</v>
      </c>
      <c r="Q163" s="15"/>
    </row>
    <row r="164" customFormat="false" ht="15" hidden="false" customHeight="false" outlineLevel="0" collapsed="false">
      <c r="A164" s="12" t="s">
        <v>870</v>
      </c>
      <c r="B164" s="13" t="s">
        <v>871</v>
      </c>
      <c r="C164" s="12" t="n">
        <v>5</v>
      </c>
      <c r="D164" s="12" t="n">
        <f aca="false">IF(Q164="Sí",0,C164*Reglas!$C$5)</f>
        <v>100</v>
      </c>
      <c r="E164" s="14" t="s">
        <v>650</v>
      </c>
      <c r="F164" s="14" t="s">
        <v>847</v>
      </c>
      <c r="G164" s="12" t="s">
        <v>66</v>
      </c>
      <c r="H164" s="14" t="s">
        <v>778</v>
      </c>
      <c r="I164" s="14" t="s">
        <v>651</v>
      </c>
      <c r="J164" s="14" t="s">
        <v>872</v>
      </c>
      <c r="K164" s="14" t="s">
        <v>873</v>
      </c>
      <c r="L164" s="15" t="n">
        <f aca="false">IF(C164=1,0,CHOOSE(C164-1,Reglas!$C$6,Reglas!$C$7,Reglas!$C$8,Reglas!$C$9))</f>
        <v>6</v>
      </c>
      <c r="M164" s="16" t="s">
        <v>70</v>
      </c>
      <c r="N164" s="16" t="n">
        <v>3</v>
      </c>
      <c r="O164" s="16" t="s">
        <v>124</v>
      </c>
      <c r="P164" s="14" t="s">
        <v>874</v>
      </c>
      <c r="Q164" s="15"/>
    </row>
    <row r="165" customFormat="false" ht="23.85" hidden="false" customHeight="false" outlineLevel="0" collapsed="false">
      <c r="A165" s="15" t="s">
        <v>875</v>
      </c>
      <c r="B165" s="17" t="s">
        <v>876</v>
      </c>
      <c r="C165" s="15" t="n">
        <v>2</v>
      </c>
      <c r="D165" s="15" t="n">
        <f aca="false">IF(Q165="Sí",0,C165*Reglas!$C$5)</f>
        <v>40</v>
      </c>
      <c r="E165" s="14" t="s">
        <v>650</v>
      </c>
      <c r="F165" s="14" t="s">
        <v>847</v>
      </c>
      <c r="G165" s="15" t="s">
        <v>102</v>
      </c>
      <c r="H165" s="14" t="s">
        <v>848</v>
      </c>
      <c r="I165" s="14" t="s">
        <v>128</v>
      </c>
      <c r="J165" s="14" t="s">
        <v>877</v>
      </c>
      <c r="K165" s="14" t="s">
        <v>854</v>
      </c>
      <c r="L165" s="15" t="n">
        <f aca="false">IF(C165=1,0,CHOOSE(C165-1,Reglas!$C$6,Reglas!$C$7,Reglas!$C$8,Reglas!$C$9))</f>
        <v>3</v>
      </c>
      <c r="M165" s="16" t="s">
        <v>70</v>
      </c>
      <c r="N165" s="16" t="n">
        <v>3</v>
      </c>
      <c r="O165" s="16" t="s">
        <v>71</v>
      </c>
      <c r="P165" s="14" t="s">
        <v>878</v>
      </c>
      <c r="Q165" s="15"/>
    </row>
    <row r="166" customFormat="false" ht="15" hidden="false" customHeight="false" outlineLevel="0" collapsed="false">
      <c r="A166" s="15" t="s">
        <v>879</v>
      </c>
      <c r="B166" s="17" t="s">
        <v>880</v>
      </c>
      <c r="C166" s="15" t="n">
        <v>2</v>
      </c>
      <c r="D166" s="15" t="n">
        <f aca="false">IF(Q166="Sí",0,C166*Reglas!$C$5)</f>
        <v>40</v>
      </c>
      <c r="E166" s="14" t="s">
        <v>650</v>
      </c>
      <c r="F166" s="14" t="s">
        <v>847</v>
      </c>
      <c r="G166" s="15" t="s">
        <v>102</v>
      </c>
      <c r="H166" s="14" t="s">
        <v>778</v>
      </c>
      <c r="I166" s="14" t="s">
        <v>651</v>
      </c>
      <c r="J166" s="14" t="s">
        <v>881</v>
      </c>
      <c r="K166" s="14" t="s">
        <v>854</v>
      </c>
      <c r="L166" s="15" t="n">
        <f aca="false">IF(C166=1,0,CHOOSE(C166-1,Reglas!$C$6,Reglas!$C$7,Reglas!$C$8,Reglas!$C$9))</f>
        <v>3</v>
      </c>
      <c r="M166" s="16" t="s">
        <v>70</v>
      </c>
      <c r="N166" s="16" t="n">
        <v>3</v>
      </c>
      <c r="O166" s="16" t="s">
        <v>71</v>
      </c>
      <c r="P166" s="14" t="s">
        <v>882</v>
      </c>
      <c r="Q166" s="15"/>
    </row>
    <row r="167" customFormat="false" ht="15" hidden="false" customHeight="false" outlineLevel="0" collapsed="false">
      <c r="A167" s="15" t="s">
        <v>883</v>
      </c>
      <c r="B167" s="17" t="s">
        <v>884</v>
      </c>
      <c r="C167" s="15" t="n">
        <v>2</v>
      </c>
      <c r="D167" s="15" t="n">
        <f aca="false">IF(Q167="Sí",0,C167*Reglas!$C$5)</f>
        <v>40</v>
      </c>
      <c r="E167" s="14" t="s">
        <v>650</v>
      </c>
      <c r="F167" s="14" t="s">
        <v>847</v>
      </c>
      <c r="G167" s="15" t="s">
        <v>102</v>
      </c>
      <c r="H167" s="14" t="s">
        <v>778</v>
      </c>
      <c r="I167" s="14" t="s">
        <v>651</v>
      </c>
      <c r="J167" s="14" t="s">
        <v>885</v>
      </c>
      <c r="K167" s="14" t="s">
        <v>886</v>
      </c>
      <c r="L167" s="15" t="n">
        <f aca="false">IF(C167=1,0,CHOOSE(C167-1,Reglas!$C$6,Reglas!$C$7,Reglas!$C$8,Reglas!$C$9))</f>
        <v>3</v>
      </c>
      <c r="M167" s="16" t="s">
        <v>70</v>
      </c>
      <c r="N167" s="16" t="n">
        <v>3</v>
      </c>
      <c r="O167" s="16" t="s">
        <v>155</v>
      </c>
      <c r="P167" s="14" t="s">
        <v>887</v>
      </c>
      <c r="Q167" s="15"/>
    </row>
    <row r="168" customFormat="false" ht="15" hidden="false" customHeight="false" outlineLevel="0" collapsed="false">
      <c r="A168" s="15" t="s">
        <v>888</v>
      </c>
      <c r="B168" s="17" t="s">
        <v>889</v>
      </c>
      <c r="C168" s="15" t="n">
        <v>3</v>
      </c>
      <c r="D168" s="15" t="n">
        <f aca="false">IF(Q168="Sí",0,C168*Reglas!$C$5)</f>
        <v>60</v>
      </c>
      <c r="E168" s="14" t="s">
        <v>650</v>
      </c>
      <c r="F168" s="14" t="s">
        <v>847</v>
      </c>
      <c r="G168" s="15" t="s">
        <v>102</v>
      </c>
      <c r="H168" s="14" t="s">
        <v>778</v>
      </c>
      <c r="I168" s="14" t="s">
        <v>651</v>
      </c>
      <c r="J168" s="14" t="s">
        <v>890</v>
      </c>
      <c r="K168" s="14" t="s">
        <v>891</v>
      </c>
      <c r="L168" s="15" t="n">
        <f aca="false">IF(C168=1,0,CHOOSE(C168-1,Reglas!$C$6,Reglas!$C$7,Reglas!$C$8,Reglas!$C$9))</f>
        <v>5</v>
      </c>
      <c r="M168" s="16" t="s">
        <v>70</v>
      </c>
      <c r="N168" s="16" t="n">
        <v>3</v>
      </c>
      <c r="O168" s="16" t="s">
        <v>71</v>
      </c>
      <c r="P168" s="14" t="s">
        <v>892</v>
      </c>
      <c r="Q168" s="15"/>
    </row>
    <row r="169" customFormat="false" ht="15" hidden="false" customHeight="false" outlineLevel="0" collapsed="false">
      <c r="A169" s="15" t="s">
        <v>893</v>
      </c>
      <c r="B169" s="17" t="s">
        <v>894</v>
      </c>
      <c r="C169" s="15" t="n">
        <v>3</v>
      </c>
      <c r="D169" s="15" t="n">
        <f aca="false">IF(Q169="Sí",0,C169*Reglas!$C$5)</f>
        <v>60</v>
      </c>
      <c r="E169" s="14" t="s">
        <v>650</v>
      </c>
      <c r="F169" s="14" t="s">
        <v>847</v>
      </c>
      <c r="G169" s="15" t="s">
        <v>102</v>
      </c>
      <c r="H169" s="14" t="s">
        <v>778</v>
      </c>
      <c r="I169" s="14" t="s">
        <v>651</v>
      </c>
      <c r="J169" s="14" t="s">
        <v>895</v>
      </c>
      <c r="K169" s="14" t="s">
        <v>854</v>
      </c>
      <c r="L169" s="15" t="n">
        <f aca="false">IF(C169=1,0,CHOOSE(C169-1,Reglas!$C$6,Reglas!$C$7,Reglas!$C$8,Reglas!$C$9))</f>
        <v>5</v>
      </c>
      <c r="M169" s="16" t="s">
        <v>70</v>
      </c>
      <c r="N169" s="16" t="n">
        <v>3</v>
      </c>
      <c r="O169" s="16" t="s">
        <v>71</v>
      </c>
      <c r="P169" s="14" t="s">
        <v>896</v>
      </c>
      <c r="Q169" s="15"/>
    </row>
    <row r="170" customFormat="false" ht="23.85" hidden="false" customHeight="false" outlineLevel="0" collapsed="false">
      <c r="A170" s="15" t="s">
        <v>897</v>
      </c>
      <c r="B170" s="17" t="s">
        <v>898</v>
      </c>
      <c r="C170" s="15" t="n">
        <v>3</v>
      </c>
      <c r="D170" s="15" t="n">
        <f aca="false">IF(Q170="Sí",0,C170*Reglas!$C$5)</f>
        <v>60</v>
      </c>
      <c r="E170" s="14" t="s">
        <v>650</v>
      </c>
      <c r="F170" s="14" t="s">
        <v>847</v>
      </c>
      <c r="G170" s="15" t="s">
        <v>102</v>
      </c>
      <c r="H170" s="14" t="s">
        <v>778</v>
      </c>
      <c r="I170" s="14" t="s">
        <v>651</v>
      </c>
      <c r="J170" s="14" t="s">
        <v>899</v>
      </c>
      <c r="K170" s="14" t="s">
        <v>863</v>
      </c>
      <c r="L170" s="15" t="n">
        <f aca="false">IF(C170=1,0,CHOOSE(C170-1,Reglas!$C$6,Reglas!$C$7,Reglas!$C$8,Reglas!$C$9))</f>
        <v>5</v>
      </c>
      <c r="M170" s="16" t="s">
        <v>70</v>
      </c>
      <c r="N170" s="16" t="n">
        <v>3</v>
      </c>
      <c r="O170" s="16" t="s">
        <v>71</v>
      </c>
      <c r="P170" s="14" t="s">
        <v>900</v>
      </c>
      <c r="Q170" s="15"/>
    </row>
    <row r="171" customFormat="false" ht="23.85" hidden="false" customHeight="false" outlineLevel="0" collapsed="false">
      <c r="A171" s="15" t="s">
        <v>901</v>
      </c>
      <c r="B171" s="17" t="s">
        <v>902</v>
      </c>
      <c r="C171" s="15" t="n">
        <v>4</v>
      </c>
      <c r="D171" s="15" t="n">
        <f aca="false">IF(Q171="Sí",0,C171*Reglas!$C$5)</f>
        <v>80</v>
      </c>
      <c r="E171" s="14" t="s">
        <v>650</v>
      </c>
      <c r="F171" s="14" t="s">
        <v>847</v>
      </c>
      <c r="G171" s="15" t="s">
        <v>102</v>
      </c>
      <c r="H171" s="14" t="s">
        <v>848</v>
      </c>
      <c r="I171" s="14" t="s">
        <v>111</v>
      </c>
      <c r="J171" s="14" t="s">
        <v>903</v>
      </c>
      <c r="K171" s="14" t="s">
        <v>904</v>
      </c>
      <c r="L171" s="15" t="n">
        <f aca="false">IF(C171=1,0,CHOOSE(C171-1,Reglas!$C$6,Reglas!$C$7,Reglas!$C$8,Reglas!$C$9))</f>
        <v>6</v>
      </c>
      <c r="M171" s="16" t="s">
        <v>70</v>
      </c>
      <c r="N171" s="16" t="n">
        <v>2</v>
      </c>
      <c r="O171" s="16" t="s">
        <v>155</v>
      </c>
      <c r="P171" s="14" t="s">
        <v>905</v>
      </c>
      <c r="Q171" s="15"/>
    </row>
    <row r="172" customFormat="false" ht="23.85" hidden="false" customHeight="false" outlineLevel="0" collapsed="false">
      <c r="A172" s="15" t="s">
        <v>906</v>
      </c>
      <c r="B172" s="17" t="s">
        <v>907</v>
      </c>
      <c r="C172" s="15" t="n">
        <v>5</v>
      </c>
      <c r="D172" s="15" t="n">
        <f aca="false">IF(Q172="Sí",0,C172*Reglas!$C$5)</f>
        <v>100</v>
      </c>
      <c r="E172" s="14" t="s">
        <v>650</v>
      </c>
      <c r="F172" s="14" t="s">
        <v>847</v>
      </c>
      <c r="G172" s="15" t="s">
        <v>102</v>
      </c>
      <c r="H172" s="14" t="s">
        <v>848</v>
      </c>
      <c r="I172" s="14" t="s">
        <v>111</v>
      </c>
      <c r="J172" s="14" t="s">
        <v>908</v>
      </c>
      <c r="K172" s="14" t="s">
        <v>909</v>
      </c>
      <c r="L172" s="15" t="n">
        <f aca="false">IF(C172=1,0,CHOOSE(C172-1,Reglas!$C$6,Reglas!$C$7,Reglas!$C$8,Reglas!$C$9))</f>
        <v>6</v>
      </c>
      <c r="M172" s="16" t="s">
        <v>70</v>
      </c>
      <c r="N172" s="16" t="n">
        <v>3</v>
      </c>
      <c r="O172" s="16" t="s">
        <v>155</v>
      </c>
      <c r="P172" s="14" t="s">
        <v>910</v>
      </c>
      <c r="Q172" s="15"/>
    </row>
    <row r="173" customFormat="false" ht="23.85" hidden="false" customHeight="false" outlineLevel="0" collapsed="false">
      <c r="A173" s="12" t="s">
        <v>911</v>
      </c>
      <c r="B173" s="13" t="s">
        <v>912</v>
      </c>
      <c r="C173" s="12" t="n">
        <v>1</v>
      </c>
      <c r="D173" s="12" t="n">
        <f aca="false">IF(Q173="Sí",0,C173*Reglas!$C$5)</f>
        <v>0</v>
      </c>
      <c r="E173" s="14" t="s">
        <v>650</v>
      </c>
      <c r="F173" s="14" t="s">
        <v>913</v>
      </c>
      <c r="G173" s="12" t="s">
        <v>66</v>
      </c>
      <c r="H173" s="14" t="s">
        <v>914</v>
      </c>
      <c r="I173" s="14" t="s">
        <v>104</v>
      </c>
      <c r="J173" s="14" t="s">
        <v>915</v>
      </c>
      <c r="K173" s="14" t="s">
        <v>69</v>
      </c>
      <c r="L173" s="15" t="n">
        <f aca="false">IF(C173=1,0,CHOOSE(C173-1,Reglas!$C$6,Reglas!$C$7,Reglas!$C$8,Reglas!$C$9))</f>
        <v>0</v>
      </c>
      <c r="M173" s="16" t="s">
        <v>106</v>
      </c>
      <c r="N173" s="16" t="n">
        <v>5</v>
      </c>
      <c r="O173" s="16" t="s">
        <v>71</v>
      </c>
      <c r="P173" s="14" t="s">
        <v>916</v>
      </c>
      <c r="Q173" s="15" t="s">
        <v>108</v>
      </c>
    </row>
    <row r="174" customFormat="false" ht="15" hidden="false" customHeight="false" outlineLevel="0" collapsed="false">
      <c r="A174" s="12" t="s">
        <v>917</v>
      </c>
      <c r="B174" s="13" t="s">
        <v>918</v>
      </c>
      <c r="C174" s="12" t="n">
        <v>2</v>
      </c>
      <c r="D174" s="12" t="n">
        <f aca="false">IF(Q174="Sí",0,C174*Reglas!$C$5)</f>
        <v>40</v>
      </c>
      <c r="E174" s="14" t="s">
        <v>650</v>
      </c>
      <c r="F174" s="14" t="s">
        <v>913</v>
      </c>
      <c r="G174" s="12" t="s">
        <v>66</v>
      </c>
      <c r="H174" s="14" t="s">
        <v>914</v>
      </c>
      <c r="I174" s="14" t="s">
        <v>111</v>
      </c>
      <c r="J174" s="14" t="s">
        <v>919</v>
      </c>
      <c r="K174" s="14" t="s">
        <v>920</v>
      </c>
      <c r="L174" s="15" t="n">
        <f aca="false">IF(C174=1,0,CHOOSE(C174-1,Reglas!$C$6,Reglas!$C$7,Reglas!$C$8,Reglas!$C$9))</f>
        <v>3</v>
      </c>
      <c r="M174" s="16" t="s">
        <v>106</v>
      </c>
      <c r="N174" s="16" t="n">
        <v>4</v>
      </c>
      <c r="O174" s="16" t="s">
        <v>71</v>
      </c>
      <c r="P174" s="14" t="s">
        <v>921</v>
      </c>
      <c r="Q174" s="15"/>
    </row>
    <row r="175" customFormat="false" ht="23.85" hidden="false" customHeight="false" outlineLevel="0" collapsed="false">
      <c r="A175" s="12" t="s">
        <v>922</v>
      </c>
      <c r="B175" s="13" t="s">
        <v>923</v>
      </c>
      <c r="C175" s="12" t="n">
        <v>3</v>
      </c>
      <c r="D175" s="12" t="n">
        <f aca="false">IF(Q175="Sí",0,C175*Reglas!$C$5)</f>
        <v>60</v>
      </c>
      <c r="E175" s="14" t="s">
        <v>650</v>
      </c>
      <c r="F175" s="14" t="s">
        <v>913</v>
      </c>
      <c r="G175" s="12" t="s">
        <v>66</v>
      </c>
      <c r="H175" s="14" t="s">
        <v>914</v>
      </c>
      <c r="I175" s="14" t="s">
        <v>111</v>
      </c>
      <c r="J175" s="14" t="s">
        <v>924</v>
      </c>
      <c r="K175" s="14" t="s">
        <v>925</v>
      </c>
      <c r="L175" s="15" t="n">
        <f aca="false">IF(C175=1,0,CHOOSE(C175-1,Reglas!$C$6,Reglas!$C$7,Reglas!$C$8,Reglas!$C$9))</f>
        <v>5</v>
      </c>
      <c r="M175" s="16" t="s">
        <v>106</v>
      </c>
      <c r="N175" s="16" t="n">
        <v>3</v>
      </c>
      <c r="O175" s="16" t="s">
        <v>124</v>
      </c>
      <c r="P175" s="14" t="s">
        <v>926</v>
      </c>
      <c r="Q175" s="15"/>
    </row>
    <row r="176" customFormat="false" ht="15" hidden="false" customHeight="false" outlineLevel="0" collapsed="false">
      <c r="A176" s="12" t="s">
        <v>927</v>
      </c>
      <c r="B176" s="13" t="s">
        <v>928</v>
      </c>
      <c r="C176" s="12" t="n">
        <v>4</v>
      </c>
      <c r="D176" s="12" t="n">
        <f aca="false">IF(Q176="Sí",0,C176*Reglas!$C$5)</f>
        <v>80</v>
      </c>
      <c r="E176" s="14" t="s">
        <v>650</v>
      </c>
      <c r="F176" s="14" t="s">
        <v>913</v>
      </c>
      <c r="G176" s="12" t="s">
        <v>66</v>
      </c>
      <c r="H176" s="14" t="s">
        <v>914</v>
      </c>
      <c r="I176" s="14" t="s">
        <v>128</v>
      </c>
      <c r="J176" s="14" t="s">
        <v>929</v>
      </c>
      <c r="K176" s="14" t="s">
        <v>930</v>
      </c>
      <c r="L176" s="15" t="n">
        <f aca="false">IF(C176=1,0,CHOOSE(C176-1,Reglas!$C$6,Reglas!$C$7,Reglas!$C$8,Reglas!$C$9))</f>
        <v>6</v>
      </c>
      <c r="M176" s="16" t="s">
        <v>70</v>
      </c>
      <c r="N176" s="16" t="n">
        <v>4</v>
      </c>
      <c r="O176" s="16" t="s">
        <v>124</v>
      </c>
      <c r="P176" s="14" t="s">
        <v>931</v>
      </c>
      <c r="Q176" s="15"/>
    </row>
    <row r="177" customFormat="false" ht="15" hidden="false" customHeight="false" outlineLevel="0" collapsed="false">
      <c r="A177" s="12" t="s">
        <v>932</v>
      </c>
      <c r="B177" s="13" t="s">
        <v>933</v>
      </c>
      <c r="C177" s="12" t="n">
        <v>4</v>
      </c>
      <c r="D177" s="12" t="n">
        <f aca="false">IF(Q177="Sí",0,C177*Reglas!$C$5)</f>
        <v>80</v>
      </c>
      <c r="E177" s="14" t="s">
        <v>650</v>
      </c>
      <c r="F177" s="14" t="s">
        <v>913</v>
      </c>
      <c r="G177" s="12" t="s">
        <v>66</v>
      </c>
      <c r="H177" s="14" t="s">
        <v>914</v>
      </c>
      <c r="I177" s="14" t="s">
        <v>128</v>
      </c>
      <c r="J177" s="14" t="s">
        <v>934</v>
      </c>
      <c r="K177" s="14" t="s">
        <v>930</v>
      </c>
      <c r="L177" s="15" t="n">
        <f aca="false">IF(C177=1,0,CHOOSE(C177-1,Reglas!$C$6,Reglas!$C$7,Reglas!$C$8,Reglas!$C$9))</f>
        <v>6</v>
      </c>
      <c r="M177" s="16" t="s">
        <v>70</v>
      </c>
      <c r="N177" s="16" t="n">
        <v>4</v>
      </c>
      <c r="O177" s="16" t="s">
        <v>124</v>
      </c>
      <c r="P177" s="14" t="s">
        <v>935</v>
      </c>
      <c r="Q177" s="15"/>
    </row>
    <row r="178" customFormat="false" ht="23.85" hidden="false" customHeight="false" outlineLevel="0" collapsed="false">
      <c r="A178" s="12" t="s">
        <v>936</v>
      </c>
      <c r="B178" s="13" t="s">
        <v>937</v>
      </c>
      <c r="C178" s="12" t="n">
        <v>5</v>
      </c>
      <c r="D178" s="12" t="n">
        <f aca="false">IF(Q178="Sí",0,C178*Reglas!$C$5)</f>
        <v>100</v>
      </c>
      <c r="E178" s="14" t="s">
        <v>650</v>
      </c>
      <c r="F178" s="14" t="s">
        <v>913</v>
      </c>
      <c r="G178" s="12" t="s">
        <v>66</v>
      </c>
      <c r="H178" s="14" t="s">
        <v>914</v>
      </c>
      <c r="I178" s="14" t="s">
        <v>111</v>
      </c>
      <c r="J178" s="14" t="s">
        <v>938</v>
      </c>
      <c r="K178" s="14" t="s">
        <v>574</v>
      </c>
      <c r="L178" s="15" t="n">
        <f aca="false">IF(C178=1,0,CHOOSE(C178-1,Reglas!$C$6,Reglas!$C$7,Reglas!$C$8,Reglas!$C$9))</f>
        <v>6</v>
      </c>
      <c r="M178" s="16" t="s">
        <v>70</v>
      </c>
      <c r="N178" s="16" t="n">
        <v>2</v>
      </c>
      <c r="O178" s="16" t="s">
        <v>155</v>
      </c>
      <c r="P178" s="14" t="s">
        <v>939</v>
      </c>
      <c r="Q178" s="15"/>
    </row>
    <row r="179" customFormat="false" ht="23.85" hidden="false" customHeight="false" outlineLevel="0" collapsed="false">
      <c r="A179" s="15" t="s">
        <v>940</v>
      </c>
      <c r="B179" s="17" t="s">
        <v>941</v>
      </c>
      <c r="C179" s="15" t="n">
        <v>2</v>
      </c>
      <c r="D179" s="15" t="n">
        <f aca="false">IF(Q179="Sí",0,C179*Reglas!$C$5)</f>
        <v>40</v>
      </c>
      <c r="E179" s="14" t="s">
        <v>650</v>
      </c>
      <c r="F179" s="14" t="s">
        <v>913</v>
      </c>
      <c r="G179" s="15" t="s">
        <v>102</v>
      </c>
      <c r="H179" s="14" t="s">
        <v>942</v>
      </c>
      <c r="I179" s="14" t="s">
        <v>942</v>
      </c>
      <c r="J179" s="14" t="s">
        <v>943</v>
      </c>
      <c r="K179" s="14" t="s">
        <v>738</v>
      </c>
      <c r="L179" s="15" t="n">
        <f aca="false">IF(C179=1,0,CHOOSE(C179-1,Reglas!$C$6,Reglas!$C$7,Reglas!$C$8,Reglas!$C$9))</f>
        <v>3</v>
      </c>
      <c r="M179" s="16" t="s">
        <v>70</v>
      </c>
      <c r="N179" s="16" t="n">
        <v>3</v>
      </c>
      <c r="O179" s="16" t="s">
        <v>124</v>
      </c>
      <c r="P179" s="14" t="s">
        <v>944</v>
      </c>
      <c r="Q179" s="15"/>
    </row>
    <row r="180" customFormat="false" ht="23.85" hidden="false" customHeight="false" outlineLevel="0" collapsed="false">
      <c r="A180" s="15" t="s">
        <v>945</v>
      </c>
      <c r="B180" s="17" t="s">
        <v>946</v>
      </c>
      <c r="C180" s="15" t="n">
        <v>2</v>
      </c>
      <c r="D180" s="15" t="n">
        <f aca="false">IF(Q180="Sí",0,C180*Reglas!$C$5)</f>
        <v>40</v>
      </c>
      <c r="E180" s="14" t="s">
        <v>650</v>
      </c>
      <c r="F180" s="14" t="s">
        <v>913</v>
      </c>
      <c r="G180" s="15" t="s">
        <v>102</v>
      </c>
      <c r="H180" s="14" t="s">
        <v>914</v>
      </c>
      <c r="I180" s="14" t="s">
        <v>651</v>
      </c>
      <c r="J180" s="14" t="s">
        <v>947</v>
      </c>
      <c r="K180" s="14" t="s">
        <v>920</v>
      </c>
      <c r="L180" s="15" t="n">
        <f aca="false">IF(C180=1,0,CHOOSE(C180-1,Reglas!$C$6,Reglas!$C$7,Reglas!$C$8,Reglas!$C$9))</f>
        <v>3</v>
      </c>
      <c r="M180" s="16" t="s">
        <v>70</v>
      </c>
      <c r="N180" s="16" t="n">
        <v>3</v>
      </c>
      <c r="O180" s="16" t="s">
        <v>124</v>
      </c>
      <c r="P180" s="14" t="s">
        <v>948</v>
      </c>
      <c r="Q180" s="15"/>
    </row>
    <row r="181" customFormat="false" ht="23.85" hidden="false" customHeight="false" outlineLevel="0" collapsed="false">
      <c r="A181" s="15" t="s">
        <v>949</v>
      </c>
      <c r="B181" s="17" t="s">
        <v>950</v>
      </c>
      <c r="C181" s="15" t="n">
        <v>3</v>
      </c>
      <c r="D181" s="15" t="n">
        <f aca="false">IF(Q181="Sí",0,C181*Reglas!$C$5)</f>
        <v>60</v>
      </c>
      <c r="E181" s="14" t="s">
        <v>650</v>
      </c>
      <c r="F181" s="14" t="s">
        <v>913</v>
      </c>
      <c r="G181" s="15" t="s">
        <v>102</v>
      </c>
      <c r="H181" s="14" t="s">
        <v>677</v>
      </c>
      <c r="I181" s="14" t="s">
        <v>677</v>
      </c>
      <c r="J181" s="14" t="s">
        <v>951</v>
      </c>
      <c r="K181" s="14" t="s">
        <v>952</v>
      </c>
      <c r="L181" s="15" t="n">
        <f aca="false">IF(C181=1,0,CHOOSE(C181-1,Reglas!$C$6,Reglas!$C$7,Reglas!$C$8,Reglas!$C$9))</f>
        <v>5</v>
      </c>
      <c r="M181" s="16" t="s">
        <v>70</v>
      </c>
      <c r="N181" s="16" t="n">
        <v>3</v>
      </c>
      <c r="O181" s="16" t="s">
        <v>71</v>
      </c>
      <c r="P181" s="14" t="s">
        <v>953</v>
      </c>
      <c r="Q181" s="15"/>
    </row>
    <row r="182" customFormat="false" ht="15" hidden="false" customHeight="false" outlineLevel="0" collapsed="false">
      <c r="A182" s="15" t="s">
        <v>954</v>
      </c>
      <c r="B182" s="17" t="s">
        <v>955</v>
      </c>
      <c r="C182" s="15" t="n">
        <v>3</v>
      </c>
      <c r="D182" s="15" t="n">
        <f aca="false">IF(Q182="Sí",0,C182*Reglas!$C$5)</f>
        <v>60</v>
      </c>
      <c r="E182" s="14" t="s">
        <v>650</v>
      </c>
      <c r="F182" s="14" t="s">
        <v>913</v>
      </c>
      <c r="G182" s="15" t="s">
        <v>102</v>
      </c>
      <c r="H182" s="14" t="s">
        <v>914</v>
      </c>
      <c r="I182" s="14" t="s">
        <v>111</v>
      </c>
      <c r="J182" s="14" t="s">
        <v>956</v>
      </c>
      <c r="K182" s="14" t="s">
        <v>957</v>
      </c>
      <c r="L182" s="15" t="n">
        <f aca="false">IF(C182=1,0,CHOOSE(C182-1,Reglas!$C$6,Reglas!$C$7,Reglas!$C$8,Reglas!$C$9))</f>
        <v>5</v>
      </c>
      <c r="M182" s="16" t="s">
        <v>70</v>
      </c>
      <c r="N182" s="16" t="n">
        <v>3</v>
      </c>
      <c r="O182" s="16" t="s">
        <v>71</v>
      </c>
      <c r="P182" s="14" t="s">
        <v>958</v>
      </c>
      <c r="Q182" s="15"/>
    </row>
    <row r="183" customFormat="false" ht="23.85" hidden="false" customHeight="false" outlineLevel="0" collapsed="false">
      <c r="A183" s="15" t="s">
        <v>959</v>
      </c>
      <c r="B183" s="17" t="s">
        <v>960</v>
      </c>
      <c r="C183" s="15" t="n">
        <v>4</v>
      </c>
      <c r="D183" s="15" t="n">
        <f aca="false">IF(Q183="Sí",0,C183*Reglas!$C$5)</f>
        <v>80</v>
      </c>
      <c r="E183" s="14" t="s">
        <v>650</v>
      </c>
      <c r="F183" s="14" t="s">
        <v>913</v>
      </c>
      <c r="G183" s="15" t="s">
        <v>102</v>
      </c>
      <c r="H183" s="14" t="s">
        <v>942</v>
      </c>
      <c r="I183" s="14" t="s">
        <v>942</v>
      </c>
      <c r="J183" s="14" t="s">
        <v>961</v>
      </c>
      <c r="K183" s="14" t="s">
        <v>753</v>
      </c>
      <c r="L183" s="15" t="n">
        <f aca="false">IF(C183=1,0,CHOOSE(C183-1,Reglas!$C$6,Reglas!$C$7,Reglas!$C$8,Reglas!$C$9))</f>
        <v>6</v>
      </c>
      <c r="M183" s="16" t="s">
        <v>70</v>
      </c>
      <c r="N183" s="16" t="n">
        <v>3</v>
      </c>
      <c r="O183" s="16" t="s">
        <v>124</v>
      </c>
      <c r="P183" s="14" t="s">
        <v>962</v>
      </c>
      <c r="Q183" s="15"/>
    </row>
    <row r="184" customFormat="false" ht="23.85" hidden="false" customHeight="false" outlineLevel="0" collapsed="false">
      <c r="A184" s="15" t="s">
        <v>963</v>
      </c>
      <c r="B184" s="17" t="s">
        <v>964</v>
      </c>
      <c r="C184" s="15" t="n">
        <v>4</v>
      </c>
      <c r="D184" s="15" t="n">
        <f aca="false">IF(Q184="Sí",0,C184*Reglas!$C$5)</f>
        <v>80</v>
      </c>
      <c r="E184" s="14" t="s">
        <v>650</v>
      </c>
      <c r="F184" s="14" t="s">
        <v>913</v>
      </c>
      <c r="G184" s="15" t="s">
        <v>102</v>
      </c>
      <c r="H184" s="14" t="s">
        <v>942</v>
      </c>
      <c r="I184" s="14" t="s">
        <v>942</v>
      </c>
      <c r="J184" s="14" t="s">
        <v>965</v>
      </c>
      <c r="K184" s="14" t="s">
        <v>759</v>
      </c>
      <c r="L184" s="15" t="n">
        <f aca="false">IF(C184=1,0,CHOOSE(C184-1,Reglas!$C$6,Reglas!$C$7,Reglas!$C$8,Reglas!$C$9))</f>
        <v>6</v>
      </c>
      <c r="M184" s="16" t="s">
        <v>70</v>
      </c>
      <c r="N184" s="16" t="n">
        <v>3</v>
      </c>
      <c r="O184" s="16" t="s">
        <v>124</v>
      </c>
      <c r="P184" s="14" t="s">
        <v>966</v>
      </c>
      <c r="Q184" s="15"/>
    </row>
    <row r="185" customFormat="false" ht="15" hidden="false" customHeight="false" outlineLevel="0" collapsed="false">
      <c r="A185" s="12" t="s">
        <v>967</v>
      </c>
      <c r="B185" s="13" t="s">
        <v>968</v>
      </c>
      <c r="C185" s="12" t="n">
        <v>1</v>
      </c>
      <c r="D185" s="12" t="n">
        <f aca="false">IF(Q185="Sí",0,C185*Reglas!$C$5)</f>
        <v>20</v>
      </c>
      <c r="E185" s="14" t="s">
        <v>650</v>
      </c>
      <c r="F185" s="14" t="s">
        <v>969</v>
      </c>
      <c r="G185" s="12" t="s">
        <v>66</v>
      </c>
      <c r="H185" s="14" t="s">
        <v>651</v>
      </c>
      <c r="I185" s="14" t="s">
        <v>380</v>
      </c>
      <c r="J185" s="14" t="s">
        <v>970</v>
      </c>
      <c r="K185" s="14" t="s">
        <v>69</v>
      </c>
      <c r="L185" s="15" t="n">
        <f aca="false">IF(C185=1,0,CHOOSE(C185-1,Reglas!$C$6,Reglas!$C$7,Reglas!$C$8,Reglas!$C$9))</f>
        <v>0</v>
      </c>
      <c r="M185" s="16" t="s">
        <v>70</v>
      </c>
      <c r="N185" s="16" t="n">
        <v>3</v>
      </c>
      <c r="O185" s="16" t="s">
        <v>71</v>
      </c>
      <c r="P185" s="14" t="s">
        <v>971</v>
      </c>
      <c r="Q185" s="15"/>
    </row>
    <row r="186" customFormat="false" ht="23.85" hidden="false" customHeight="false" outlineLevel="0" collapsed="false">
      <c r="A186" s="12" t="s">
        <v>972</v>
      </c>
      <c r="B186" s="13" t="s">
        <v>973</v>
      </c>
      <c r="C186" s="12" t="n">
        <v>2</v>
      </c>
      <c r="D186" s="12" t="n">
        <f aca="false">IF(Q186="Sí",0,C186*Reglas!$C$5)</f>
        <v>40</v>
      </c>
      <c r="E186" s="14" t="s">
        <v>650</v>
      </c>
      <c r="F186" s="14" t="s">
        <v>969</v>
      </c>
      <c r="G186" s="12" t="s">
        <v>66</v>
      </c>
      <c r="H186" s="14" t="s">
        <v>651</v>
      </c>
      <c r="I186" s="14" t="s">
        <v>974</v>
      </c>
      <c r="J186" s="14" t="s">
        <v>975</v>
      </c>
      <c r="K186" s="14" t="s">
        <v>976</v>
      </c>
      <c r="L186" s="15" t="n">
        <f aca="false">IF(C186=1,0,CHOOSE(C186-1,Reglas!$C$6,Reglas!$C$7,Reglas!$C$8,Reglas!$C$9))</f>
        <v>3</v>
      </c>
      <c r="M186" s="16" t="s">
        <v>70</v>
      </c>
      <c r="N186" s="16" t="n">
        <v>3</v>
      </c>
      <c r="O186" s="16" t="s">
        <v>124</v>
      </c>
      <c r="P186" s="14" t="s">
        <v>977</v>
      </c>
      <c r="Q186" s="15"/>
    </row>
    <row r="187" customFormat="false" ht="15" hidden="false" customHeight="false" outlineLevel="0" collapsed="false">
      <c r="A187" s="12" t="s">
        <v>978</v>
      </c>
      <c r="B187" s="13" t="s">
        <v>979</v>
      </c>
      <c r="C187" s="12" t="n">
        <v>3</v>
      </c>
      <c r="D187" s="12" t="n">
        <f aca="false">IF(Q187="Sí",0,C187*Reglas!$C$5)</f>
        <v>60</v>
      </c>
      <c r="E187" s="14" t="s">
        <v>650</v>
      </c>
      <c r="F187" s="14" t="s">
        <v>969</v>
      </c>
      <c r="G187" s="12" t="s">
        <v>66</v>
      </c>
      <c r="H187" s="14" t="s">
        <v>651</v>
      </c>
      <c r="I187" s="14" t="s">
        <v>380</v>
      </c>
      <c r="J187" s="14" t="s">
        <v>980</v>
      </c>
      <c r="K187" s="14" t="s">
        <v>976</v>
      </c>
      <c r="L187" s="15" t="n">
        <f aca="false">IF(C187=1,0,CHOOSE(C187-1,Reglas!$C$6,Reglas!$C$7,Reglas!$C$8,Reglas!$C$9))</f>
        <v>5</v>
      </c>
      <c r="M187" s="16" t="s">
        <v>70</v>
      </c>
      <c r="N187" s="16" t="n">
        <v>3</v>
      </c>
      <c r="O187" s="16" t="s">
        <v>71</v>
      </c>
      <c r="P187" s="14" t="s">
        <v>981</v>
      </c>
      <c r="Q187" s="15"/>
    </row>
    <row r="188" customFormat="false" ht="15" hidden="false" customHeight="false" outlineLevel="0" collapsed="false">
      <c r="A188" s="12" t="s">
        <v>982</v>
      </c>
      <c r="B188" s="13" t="s">
        <v>983</v>
      </c>
      <c r="C188" s="12" t="n">
        <v>3</v>
      </c>
      <c r="D188" s="12" t="n">
        <f aca="false">IF(Q188="Sí",0,C188*Reglas!$C$5)</f>
        <v>60</v>
      </c>
      <c r="E188" s="14" t="s">
        <v>650</v>
      </c>
      <c r="F188" s="14" t="s">
        <v>969</v>
      </c>
      <c r="G188" s="12" t="s">
        <v>66</v>
      </c>
      <c r="H188" s="14" t="s">
        <v>974</v>
      </c>
      <c r="I188" s="14" t="s">
        <v>974</v>
      </c>
      <c r="J188" s="14" t="s">
        <v>984</v>
      </c>
      <c r="K188" s="14" t="s">
        <v>985</v>
      </c>
      <c r="L188" s="15" t="n">
        <f aca="false">IF(C188=1,0,CHOOSE(C188-1,Reglas!$C$6,Reglas!$C$7,Reglas!$C$8,Reglas!$C$9))</f>
        <v>5</v>
      </c>
      <c r="M188" s="16" t="s">
        <v>70</v>
      </c>
      <c r="N188" s="16" t="n">
        <v>3</v>
      </c>
      <c r="O188" s="16" t="s">
        <v>71</v>
      </c>
      <c r="P188" s="14" t="s">
        <v>986</v>
      </c>
      <c r="Q188" s="15"/>
    </row>
    <row r="189" customFormat="false" ht="15" hidden="false" customHeight="false" outlineLevel="0" collapsed="false">
      <c r="A189" s="12" t="s">
        <v>987</v>
      </c>
      <c r="B189" s="13" t="s">
        <v>988</v>
      </c>
      <c r="C189" s="12" t="n">
        <v>4</v>
      </c>
      <c r="D189" s="12" t="n">
        <f aca="false">IF(Q189="Sí",0,C189*Reglas!$C$5)</f>
        <v>80</v>
      </c>
      <c r="E189" s="14" t="s">
        <v>650</v>
      </c>
      <c r="F189" s="14" t="s">
        <v>969</v>
      </c>
      <c r="G189" s="12" t="s">
        <v>66</v>
      </c>
      <c r="H189" s="14" t="s">
        <v>651</v>
      </c>
      <c r="I189" s="14" t="s">
        <v>651</v>
      </c>
      <c r="J189" s="14" t="s">
        <v>989</v>
      </c>
      <c r="K189" s="14" t="s">
        <v>990</v>
      </c>
      <c r="L189" s="15" t="n">
        <f aca="false">IF(C189=1,0,CHOOSE(C189-1,Reglas!$C$6,Reglas!$C$7,Reglas!$C$8,Reglas!$C$9))</f>
        <v>6</v>
      </c>
      <c r="M189" s="16" t="s">
        <v>70</v>
      </c>
      <c r="N189" s="16" t="n">
        <v>3</v>
      </c>
      <c r="O189" s="16" t="s">
        <v>124</v>
      </c>
      <c r="P189" s="14" t="s">
        <v>991</v>
      </c>
      <c r="Q189" s="15"/>
    </row>
    <row r="190" customFormat="false" ht="23.85" hidden="false" customHeight="false" outlineLevel="0" collapsed="false">
      <c r="A190" s="12" t="s">
        <v>992</v>
      </c>
      <c r="B190" s="13" t="s">
        <v>993</v>
      </c>
      <c r="C190" s="12" t="n">
        <v>4</v>
      </c>
      <c r="D190" s="12" t="n">
        <f aca="false">IF(Q190="Sí",0,C190*Reglas!$C$5)</f>
        <v>80</v>
      </c>
      <c r="E190" s="14" t="s">
        <v>650</v>
      </c>
      <c r="F190" s="14" t="s">
        <v>969</v>
      </c>
      <c r="G190" s="12" t="s">
        <v>66</v>
      </c>
      <c r="H190" s="14" t="s">
        <v>974</v>
      </c>
      <c r="I190" s="14" t="s">
        <v>974</v>
      </c>
      <c r="J190" s="14" t="s">
        <v>994</v>
      </c>
      <c r="K190" s="14" t="s">
        <v>995</v>
      </c>
      <c r="L190" s="15" t="n">
        <f aca="false">IF(C190=1,0,CHOOSE(C190-1,Reglas!$C$6,Reglas!$C$7,Reglas!$C$8,Reglas!$C$9))</f>
        <v>6</v>
      </c>
      <c r="M190" s="16" t="s">
        <v>70</v>
      </c>
      <c r="N190" s="16" t="n">
        <v>3</v>
      </c>
      <c r="O190" s="16" t="s">
        <v>71</v>
      </c>
      <c r="P190" s="14" t="s">
        <v>996</v>
      </c>
      <c r="Q190" s="15"/>
    </row>
    <row r="191" customFormat="false" ht="23.85" hidden="false" customHeight="false" outlineLevel="0" collapsed="false">
      <c r="A191" s="12" t="s">
        <v>997</v>
      </c>
      <c r="B191" s="13" t="s">
        <v>998</v>
      </c>
      <c r="C191" s="12" t="n">
        <v>5</v>
      </c>
      <c r="D191" s="12" t="n">
        <f aca="false">IF(Q191="Sí",0,C191*Reglas!$C$5)</f>
        <v>100</v>
      </c>
      <c r="E191" s="14" t="s">
        <v>650</v>
      </c>
      <c r="F191" s="14" t="s">
        <v>969</v>
      </c>
      <c r="G191" s="12" t="s">
        <v>66</v>
      </c>
      <c r="H191" s="14" t="s">
        <v>651</v>
      </c>
      <c r="I191" s="14" t="s">
        <v>651</v>
      </c>
      <c r="J191" s="14" t="s">
        <v>999</v>
      </c>
      <c r="K191" s="14" t="s">
        <v>1000</v>
      </c>
      <c r="L191" s="15" t="n">
        <f aca="false">IF(C191=1,0,CHOOSE(C191-1,Reglas!$C$6,Reglas!$C$7,Reglas!$C$8,Reglas!$C$9))</f>
        <v>6</v>
      </c>
      <c r="M191" s="16" t="s">
        <v>70</v>
      </c>
      <c r="N191" s="16" t="n">
        <v>3</v>
      </c>
      <c r="O191" s="16" t="s">
        <v>124</v>
      </c>
      <c r="P191" s="14" t="s">
        <v>1001</v>
      </c>
      <c r="Q191" s="15"/>
    </row>
    <row r="192" customFormat="false" ht="23.85" hidden="false" customHeight="false" outlineLevel="0" collapsed="false">
      <c r="A192" s="15" t="s">
        <v>1002</v>
      </c>
      <c r="B192" s="17" t="s">
        <v>1003</v>
      </c>
      <c r="C192" s="15" t="n">
        <v>1</v>
      </c>
      <c r="D192" s="15" t="n">
        <f aca="false">IF(Q192="Sí",0,C192*Reglas!$C$5)</f>
        <v>20</v>
      </c>
      <c r="E192" s="14" t="s">
        <v>650</v>
      </c>
      <c r="F192" s="14" t="s">
        <v>969</v>
      </c>
      <c r="G192" s="15" t="s">
        <v>102</v>
      </c>
      <c r="H192" s="14" t="s">
        <v>821</v>
      </c>
      <c r="I192" s="14" t="s">
        <v>821</v>
      </c>
      <c r="J192" s="14" t="s">
        <v>1004</v>
      </c>
      <c r="K192" s="14" t="s">
        <v>69</v>
      </c>
      <c r="L192" s="15" t="n">
        <f aca="false">IF(C192=1,0,CHOOSE(C192-1,Reglas!$C$6,Reglas!$C$7,Reglas!$C$8,Reglas!$C$9))</f>
        <v>0</v>
      </c>
      <c r="M192" s="16" t="s">
        <v>70</v>
      </c>
      <c r="N192" s="16" t="n">
        <v>4</v>
      </c>
      <c r="O192" s="16" t="s">
        <v>71</v>
      </c>
      <c r="P192" s="14" t="s">
        <v>1005</v>
      </c>
      <c r="Q192" s="15"/>
    </row>
    <row r="193" customFormat="false" ht="23.85" hidden="false" customHeight="false" outlineLevel="0" collapsed="false">
      <c r="A193" s="15" t="s">
        <v>1006</v>
      </c>
      <c r="B193" s="17" t="s">
        <v>1007</v>
      </c>
      <c r="C193" s="15" t="n">
        <v>2</v>
      </c>
      <c r="D193" s="15" t="n">
        <f aca="false">IF(Q193="Sí",0,C193*Reglas!$C$5)</f>
        <v>40</v>
      </c>
      <c r="E193" s="14" t="s">
        <v>650</v>
      </c>
      <c r="F193" s="14" t="s">
        <v>969</v>
      </c>
      <c r="G193" s="15" t="s">
        <v>102</v>
      </c>
      <c r="H193" s="14" t="s">
        <v>942</v>
      </c>
      <c r="I193" s="14" t="s">
        <v>942</v>
      </c>
      <c r="J193" s="14" t="s">
        <v>1008</v>
      </c>
      <c r="K193" s="14" t="s">
        <v>738</v>
      </c>
      <c r="L193" s="15" t="n">
        <f aca="false">IF(C193=1,0,CHOOSE(C193-1,Reglas!$C$6,Reglas!$C$7,Reglas!$C$8,Reglas!$C$9))</f>
        <v>3</v>
      </c>
      <c r="M193" s="16" t="s">
        <v>70</v>
      </c>
      <c r="N193" s="16" t="n">
        <v>3</v>
      </c>
      <c r="O193" s="16" t="s">
        <v>124</v>
      </c>
      <c r="P193" s="14" t="s">
        <v>1009</v>
      </c>
      <c r="Q193" s="15"/>
    </row>
    <row r="194" customFormat="false" ht="15" hidden="false" customHeight="false" outlineLevel="0" collapsed="false">
      <c r="A194" s="15" t="s">
        <v>1010</v>
      </c>
      <c r="B194" s="17" t="s">
        <v>1011</v>
      </c>
      <c r="C194" s="15" t="n">
        <v>2</v>
      </c>
      <c r="D194" s="15" t="n">
        <f aca="false">IF(Q194="Sí",0,C194*Reglas!$C$5)</f>
        <v>40</v>
      </c>
      <c r="E194" s="14" t="s">
        <v>650</v>
      </c>
      <c r="F194" s="14" t="s">
        <v>969</v>
      </c>
      <c r="G194" s="15" t="s">
        <v>102</v>
      </c>
      <c r="H194" s="14" t="s">
        <v>651</v>
      </c>
      <c r="I194" s="14" t="s">
        <v>974</v>
      </c>
      <c r="J194" s="14" t="s">
        <v>1012</v>
      </c>
      <c r="K194" s="14" t="s">
        <v>854</v>
      </c>
      <c r="L194" s="15" t="n">
        <f aca="false">IF(C194=1,0,CHOOSE(C194-1,Reglas!$C$6,Reglas!$C$7,Reglas!$C$8,Reglas!$C$9))</f>
        <v>3</v>
      </c>
      <c r="M194" s="16" t="s">
        <v>70</v>
      </c>
      <c r="N194" s="16" t="n">
        <v>3</v>
      </c>
      <c r="O194" s="16" t="s">
        <v>71</v>
      </c>
      <c r="P194" s="14" t="s">
        <v>1013</v>
      </c>
      <c r="Q194" s="15"/>
    </row>
    <row r="195" customFormat="false" ht="23.85" hidden="false" customHeight="false" outlineLevel="0" collapsed="false">
      <c r="A195" s="15" t="s">
        <v>1014</v>
      </c>
      <c r="B195" s="17" t="s">
        <v>1015</v>
      </c>
      <c r="C195" s="15" t="n">
        <v>2</v>
      </c>
      <c r="D195" s="15" t="n">
        <f aca="false">IF(Q195="Sí",0,C195*Reglas!$C$5)</f>
        <v>40</v>
      </c>
      <c r="E195" s="14" t="s">
        <v>650</v>
      </c>
      <c r="F195" s="14" t="s">
        <v>969</v>
      </c>
      <c r="G195" s="15" t="s">
        <v>102</v>
      </c>
      <c r="H195" s="14" t="s">
        <v>821</v>
      </c>
      <c r="I195" s="14" t="s">
        <v>821</v>
      </c>
      <c r="J195" s="14" t="s">
        <v>1016</v>
      </c>
      <c r="K195" s="14" t="s">
        <v>854</v>
      </c>
      <c r="L195" s="15" t="n">
        <f aca="false">IF(C195=1,0,CHOOSE(C195-1,Reglas!$C$6,Reglas!$C$7,Reglas!$C$8,Reglas!$C$9))</f>
        <v>3</v>
      </c>
      <c r="M195" s="16" t="s">
        <v>70</v>
      </c>
      <c r="N195" s="16" t="n">
        <v>3</v>
      </c>
      <c r="O195" s="16" t="s">
        <v>71</v>
      </c>
      <c r="P195" s="14" t="s">
        <v>1017</v>
      </c>
      <c r="Q195" s="15"/>
    </row>
    <row r="196" customFormat="false" ht="15" hidden="false" customHeight="false" outlineLevel="0" collapsed="false">
      <c r="A196" s="15" t="s">
        <v>1018</v>
      </c>
      <c r="B196" s="17" t="s">
        <v>1019</v>
      </c>
      <c r="C196" s="15" t="n">
        <v>3</v>
      </c>
      <c r="D196" s="15" t="n">
        <f aca="false">IF(Q196="Sí",0,C196*Reglas!$C$5)</f>
        <v>60</v>
      </c>
      <c r="E196" s="14" t="s">
        <v>650</v>
      </c>
      <c r="F196" s="14" t="s">
        <v>969</v>
      </c>
      <c r="G196" s="15" t="s">
        <v>102</v>
      </c>
      <c r="H196" s="14" t="s">
        <v>651</v>
      </c>
      <c r="I196" s="14" t="s">
        <v>974</v>
      </c>
      <c r="J196" s="14" t="s">
        <v>1020</v>
      </c>
      <c r="K196" s="14" t="s">
        <v>1021</v>
      </c>
      <c r="L196" s="15" t="n">
        <f aca="false">IF(C196=1,0,CHOOSE(C196-1,Reglas!$C$6,Reglas!$C$7,Reglas!$C$8,Reglas!$C$9))</f>
        <v>5</v>
      </c>
      <c r="M196" s="16" t="s">
        <v>70</v>
      </c>
      <c r="N196" s="16" t="n">
        <v>3</v>
      </c>
      <c r="O196" s="16" t="s">
        <v>71</v>
      </c>
      <c r="P196" s="14" t="s">
        <v>1022</v>
      </c>
      <c r="Q196" s="15"/>
    </row>
    <row r="197" customFormat="false" ht="15" hidden="false" customHeight="false" outlineLevel="0" collapsed="false">
      <c r="A197" s="15" t="s">
        <v>1023</v>
      </c>
      <c r="B197" s="17" t="s">
        <v>1024</v>
      </c>
      <c r="C197" s="15" t="n">
        <v>3</v>
      </c>
      <c r="D197" s="15" t="n">
        <f aca="false">IF(Q197="Sí",0,C197*Reglas!$C$5)</f>
        <v>60</v>
      </c>
      <c r="E197" s="14" t="s">
        <v>650</v>
      </c>
      <c r="F197" s="14" t="s">
        <v>969</v>
      </c>
      <c r="G197" s="15" t="s">
        <v>102</v>
      </c>
      <c r="H197" s="14" t="s">
        <v>651</v>
      </c>
      <c r="I197" s="14" t="s">
        <v>651</v>
      </c>
      <c r="J197" s="14" t="s">
        <v>1025</v>
      </c>
      <c r="K197" s="14" t="s">
        <v>595</v>
      </c>
      <c r="L197" s="15" t="n">
        <f aca="false">IF(C197=1,0,CHOOSE(C197-1,Reglas!$C$6,Reglas!$C$7,Reglas!$C$8,Reglas!$C$9))</f>
        <v>5</v>
      </c>
      <c r="M197" s="16" t="s">
        <v>70</v>
      </c>
      <c r="N197" s="16" t="n">
        <v>3</v>
      </c>
      <c r="O197" s="16" t="s">
        <v>124</v>
      </c>
      <c r="P197" s="14" t="s">
        <v>1026</v>
      </c>
      <c r="Q197" s="15"/>
    </row>
    <row r="198" customFormat="false" ht="23.85" hidden="false" customHeight="false" outlineLevel="0" collapsed="false">
      <c r="A198" s="15" t="s">
        <v>1027</v>
      </c>
      <c r="B198" s="17" t="s">
        <v>1028</v>
      </c>
      <c r="C198" s="15" t="n">
        <v>3</v>
      </c>
      <c r="D198" s="15" t="n">
        <f aca="false">IF(Q198="Sí",0,C198*Reglas!$C$5)</f>
        <v>60</v>
      </c>
      <c r="E198" s="14" t="s">
        <v>650</v>
      </c>
      <c r="F198" s="14" t="s">
        <v>969</v>
      </c>
      <c r="G198" s="15" t="s">
        <v>102</v>
      </c>
      <c r="H198" s="14" t="s">
        <v>821</v>
      </c>
      <c r="I198" s="14" t="s">
        <v>821</v>
      </c>
      <c r="J198" s="14" t="s">
        <v>1029</v>
      </c>
      <c r="K198" s="14" t="s">
        <v>1030</v>
      </c>
      <c r="L198" s="15" t="n">
        <f aca="false">IF(C198=1,0,CHOOSE(C198-1,Reglas!$C$6,Reglas!$C$7,Reglas!$C$8,Reglas!$C$9))</f>
        <v>5</v>
      </c>
      <c r="M198" s="16" t="s">
        <v>70</v>
      </c>
      <c r="N198" s="16" t="n">
        <v>3</v>
      </c>
      <c r="O198" s="16" t="s">
        <v>71</v>
      </c>
      <c r="P198" s="14" t="s">
        <v>1031</v>
      </c>
      <c r="Q198" s="15"/>
    </row>
    <row r="199" customFormat="false" ht="23.85" hidden="false" customHeight="false" outlineLevel="0" collapsed="false">
      <c r="A199" s="15" t="s">
        <v>1032</v>
      </c>
      <c r="B199" s="17" t="s">
        <v>1033</v>
      </c>
      <c r="C199" s="15" t="n">
        <v>4</v>
      </c>
      <c r="D199" s="15" t="n">
        <f aca="false">IF(Q199="Sí",0,C199*Reglas!$C$5)</f>
        <v>80</v>
      </c>
      <c r="E199" s="14" t="s">
        <v>650</v>
      </c>
      <c r="F199" s="14" t="s">
        <v>969</v>
      </c>
      <c r="G199" s="15" t="s">
        <v>102</v>
      </c>
      <c r="H199" s="14" t="s">
        <v>942</v>
      </c>
      <c r="I199" s="14" t="s">
        <v>942</v>
      </c>
      <c r="J199" s="14" t="s">
        <v>1034</v>
      </c>
      <c r="K199" s="14" t="s">
        <v>753</v>
      </c>
      <c r="L199" s="15" t="n">
        <f aca="false">IF(C199=1,0,CHOOSE(C199-1,Reglas!$C$6,Reglas!$C$7,Reglas!$C$8,Reglas!$C$9))</f>
        <v>6</v>
      </c>
      <c r="M199" s="16" t="s">
        <v>70</v>
      </c>
      <c r="N199" s="16" t="n">
        <v>3</v>
      </c>
      <c r="O199" s="16" t="s">
        <v>124</v>
      </c>
      <c r="P199" s="14" t="s">
        <v>1035</v>
      </c>
      <c r="Q199" s="15"/>
    </row>
    <row r="200" customFormat="false" ht="23.85" hidden="false" customHeight="false" outlineLevel="0" collapsed="false">
      <c r="A200" s="15" t="s">
        <v>1036</v>
      </c>
      <c r="B200" s="17" t="s">
        <v>1037</v>
      </c>
      <c r="C200" s="15" t="n">
        <v>4</v>
      </c>
      <c r="D200" s="15" t="n">
        <f aca="false">IF(Q200="Sí",0,C200*Reglas!$C$5)</f>
        <v>80</v>
      </c>
      <c r="E200" s="14" t="s">
        <v>650</v>
      </c>
      <c r="F200" s="14" t="s">
        <v>969</v>
      </c>
      <c r="G200" s="15" t="s">
        <v>102</v>
      </c>
      <c r="H200" s="14" t="s">
        <v>942</v>
      </c>
      <c r="I200" s="14" t="s">
        <v>942</v>
      </c>
      <c r="J200" s="14" t="s">
        <v>1038</v>
      </c>
      <c r="K200" s="14" t="s">
        <v>759</v>
      </c>
      <c r="L200" s="15" t="n">
        <f aca="false">IF(C200=1,0,CHOOSE(C200-1,Reglas!$C$6,Reglas!$C$7,Reglas!$C$8,Reglas!$C$9))</f>
        <v>6</v>
      </c>
      <c r="M200" s="16" t="s">
        <v>70</v>
      </c>
      <c r="N200" s="16" t="n">
        <v>3</v>
      </c>
      <c r="O200" s="16" t="s">
        <v>124</v>
      </c>
      <c r="P200" s="14" t="s">
        <v>1039</v>
      </c>
      <c r="Q200" s="15"/>
    </row>
    <row r="201" customFormat="false" ht="23.85" hidden="false" customHeight="false" outlineLevel="0" collapsed="false">
      <c r="A201" s="15" t="s">
        <v>1040</v>
      </c>
      <c r="B201" s="17" t="s">
        <v>1041</v>
      </c>
      <c r="C201" s="15" t="n">
        <v>4</v>
      </c>
      <c r="D201" s="15" t="n">
        <f aca="false">IF(Q201="Sí",0,C201*Reglas!$C$5)</f>
        <v>80</v>
      </c>
      <c r="E201" s="14" t="s">
        <v>650</v>
      </c>
      <c r="F201" s="14" t="s">
        <v>969</v>
      </c>
      <c r="G201" s="15" t="s">
        <v>102</v>
      </c>
      <c r="H201" s="14" t="s">
        <v>821</v>
      </c>
      <c r="I201" s="14" t="s">
        <v>821</v>
      </c>
      <c r="J201" s="14" t="s">
        <v>1042</v>
      </c>
      <c r="K201" s="14" t="s">
        <v>1043</v>
      </c>
      <c r="L201" s="15" t="n">
        <f aca="false">IF(C201=1,0,CHOOSE(C201-1,Reglas!$C$6,Reglas!$C$7,Reglas!$C$8,Reglas!$C$9))</f>
        <v>6</v>
      </c>
      <c r="M201" s="16" t="s">
        <v>70</v>
      </c>
      <c r="N201" s="16" t="n">
        <v>3</v>
      </c>
      <c r="O201" s="16" t="s">
        <v>71</v>
      </c>
      <c r="P201" s="14" t="s">
        <v>1044</v>
      </c>
      <c r="Q201" s="15"/>
    </row>
    <row r="202" customFormat="false" ht="23.85" hidden="false" customHeight="false" outlineLevel="0" collapsed="false">
      <c r="A202" s="15" t="s">
        <v>1045</v>
      </c>
      <c r="B202" s="17" t="s">
        <v>1046</v>
      </c>
      <c r="C202" s="15" t="n">
        <v>4</v>
      </c>
      <c r="D202" s="15" t="n">
        <f aca="false">IF(Q202="Sí",0,C202*Reglas!$C$5)</f>
        <v>80</v>
      </c>
      <c r="E202" s="14" t="s">
        <v>650</v>
      </c>
      <c r="F202" s="14" t="s">
        <v>969</v>
      </c>
      <c r="G202" s="15" t="s">
        <v>102</v>
      </c>
      <c r="H202" s="14" t="s">
        <v>974</v>
      </c>
      <c r="I202" s="14" t="s">
        <v>974</v>
      </c>
      <c r="J202" s="14" t="s">
        <v>1047</v>
      </c>
      <c r="K202" s="14" t="s">
        <v>1048</v>
      </c>
      <c r="L202" s="15" t="n">
        <f aca="false">IF(C202=1,0,CHOOSE(C202-1,Reglas!$C$6,Reglas!$C$7,Reglas!$C$8,Reglas!$C$9))</f>
        <v>6</v>
      </c>
      <c r="M202" s="16" t="s">
        <v>70</v>
      </c>
      <c r="N202" s="16" t="n">
        <v>3</v>
      </c>
      <c r="O202" s="16" t="s">
        <v>124</v>
      </c>
      <c r="P202" s="14" t="s">
        <v>1049</v>
      </c>
      <c r="Q202" s="15"/>
    </row>
    <row r="203" customFormat="false" ht="23.85" hidden="false" customHeight="false" outlineLevel="0" collapsed="false">
      <c r="A203" s="15" t="s">
        <v>1050</v>
      </c>
      <c r="B203" s="17" t="s">
        <v>1051</v>
      </c>
      <c r="C203" s="15" t="n">
        <v>5</v>
      </c>
      <c r="D203" s="15" t="n">
        <f aca="false">IF(Q203="Sí",0,C203*Reglas!$C$5)</f>
        <v>100</v>
      </c>
      <c r="E203" s="14" t="s">
        <v>650</v>
      </c>
      <c r="F203" s="14" t="s">
        <v>969</v>
      </c>
      <c r="G203" s="15" t="s">
        <v>102</v>
      </c>
      <c r="H203" s="14" t="s">
        <v>821</v>
      </c>
      <c r="I203" s="14" t="s">
        <v>821</v>
      </c>
      <c r="J203" s="14" t="s">
        <v>1052</v>
      </c>
      <c r="K203" s="14" t="s">
        <v>1053</v>
      </c>
      <c r="L203" s="15" t="n">
        <f aca="false">IF(C203=1,0,CHOOSE(C203-1,Reglas!$C$6,Reglas!$C$7,Reglas!$C$8,Reglas!$C$9))</f>
        <v>6</v>
      </c>
      <c r="M203" s="16" t="s">
        <v>70</v>
      </c>
      <c r="N203" s="16" t="n">
        <v>2</v>
      </c>
      <c r="O203" s="16" t="s">
        <v>155</v>
      </c>
      <c r="P203" s="14" t="s">
        <v>1054</v>
      </c>
      <c r="Q203" s="15"/>
    </row>
    <row r="204" customFormat="false" ht="23.85" hidden="false" customHeight="false" outlineLevel="0" collapsed="false">
      <c r="A204" s="15" t="s">
        <v>1055</v>
      </c>
      <c r="B204" s="17" t="s">
        <v>1056</v>
      </c>
      <c r="C204" s="15" t="n">
        <v>5</v>
      </c>
      <c r="D204" s="15" t="n">
        <f aca="false">IF(Q204="Sí",0,C204*Reglas!$C$5)</f>
        <v>100</v>
      </c>
      <c r="E204" s="14" t="s">
        <v>650</v>
      </c>
      <c r="F204" s="14" t="s">
        <v>969</v>
      </c>
      <c r="G204" s="15" t="s">
        <v>102</v>
      </c>
      <c r="H204" s="14" t="s">
        <v>974</v>
      </c>
      <c r="I204" s="14" t="s">
        <v>974</v>
      </c>
      <c r="J204" s="14" t="s">
        <v>1057</v>
      </c>
      <c r="K204" s="14" t="s">
        <v>1058</v>
      </c>
      <c r="L204" s="15" t="n">
        <f aca="false">IF(C204=1,0,CHOOSE(C204-1,Reglas!$C$6,Reglas!$C$7,Reglas!$C$8,Reglas!$C$9))</f>
        <v>6</v>
      </c>
      <c r="M204" s="16" t="s">
        <v>70</v>
      </c>
      <c r="N204" s="16" t="n">
        <v>2</v>
      </c>
      <c r="O204" s="16" t="s">
        <v>155</v>
      </c>
      <c r="P204" s="14" t="s">
        <v>1059</v>
      </c>
      <c r="Q204" s="15"/>
    </row>
  </sheetData>
  <autoFilter ref="A1:Q204"/>
  <conditionalFormatting sqref="N2:N204">
    <cfRule type="colorScale" priority="2">
      <colorScale>
        <cfvo type="num" val="1"/>
        <cfvo type="num" val="3"/>
        <cfvo type="num" val="5"/>
        <color rgb="FFF4B6B0"/>
        <color rgb="FFFFF3C4"/>
        <color rgb="FFB7E1B5"/>
      </colorScale>
    </cfRule>
  </conditionalFormatting>
  <conditionalFormatting sqref="O2:O204">
    <cfRule type="cellIs" priority="3" operator="equal" aboveAverage="0" equalAverage="0" bottom="0" percent="0" rank="0" text="" dxfId="10">
      <formula>"Alto"</formula>
    </cfRule>
    <cfRule type="cellIs" priority="4" operator="equal" aboveAverage="0" equalAverage="0" bottom="0" percent="0" rank="0" text="" dxfId="11">
      <formula>"Medio"</formula>
    </cfRule>
  </conditionalFormatting>
  <conditionalFormatting sqref="M2:M204">
    <cfRule type="cellIs" priority="5" operator="equal" aboveAverage="0" equalAverage="0" bottom="0" percent="0" rank="0" text="" dxfId="12">
      <formula>"Tuya"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J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6" min="4" style="0" width="12"/>
    <col collapsed="false" customWidth="true" hidden="false" outlineLevel="0" max="8" min="7" style="0" width="18"/>
    <col collapsed="false" customWidth="true" hidden="false" outlineLevel="0" max="9" min="9" style="0" width="15"/>
    <col collapsed="false" customWidth="true" hidden="false" outlineLevel="0" max="10" min="10" style="0" width="14"/>
  </cols>
  <sheetData>
    <row r="1" customFormat="false" ht="19.7" hidden="false" customHeight="false" outlineLevel="0" collapsed="false">
      <c r="B1" s="1" t="s">
        <v>1060</v>
      </c>
    </row>
    <row r="2" customFormat="false" ht="15" hidden="false" customHeight="false" outlineLevel="0" collapsed="false">
      <c r="B2" s="2" t="s">
        <v>1061</v>
      </c>
    </row>
    <row r="4" customFormat="false" ht="43.5" hidden="false" customHeight="true" outlineLevel="0" collapsed="false">
      <c r="B4" s="11" t="s">
        <v>55</v>
      </c>
      <c r="C4" s="11" t="s">
        <v>54</v>
      </c>
      <c r="D4" s="11" t="s">
        <v>1062</v>
      </c>
      <c r="E4" s="11" t="s">
        <v>1063</v>
      </c>
      <c r="F4" s="11" t="s">
        <v>1064</v>
      </c>
      <c r="G4" s="11" t="s">
        <v>1065</v>
      </c>
      <c r="H4" s="11" t="s">
        <v>1066</v>
      </c>
      <c r="I4" s="11" t="s">
        <v>1067</v>
      </c>
      <c r="J4" s="11" t="s">
        <v>1068</v>
      </c>
    </row>
    <row r="5" customFormat="false" ht="15" hidden="false" customHeight="false" outlineLevel="0" collapsed="false">
      <c r="B5" s="18" t="s">
        <v>65</v>
      </c>
      <c r="C5" s="19" t="s">
        <v>64</v>
      </c>
      <c r="D5" s="19" t="n">
        <f aca="false">COUNTIF(Tecnologías!$F$2:$F$204,B5)</f>
        <v>17</v>
      </c>
      <c r="E5" s="19" t="n">
        <f aca="false">COUNTIFS(Tecnologías!$F$2:$F$204,B5,Tecnologías!$G$2:$G$204,"Vertebral")</f>
        <v>6</v>
      </c>
      <c r="F5" s="19" t="n">
        <f aca="false">COUNTIFS(Tecnologías!$F$2:$F$204,B5,Tecnologías!$G$2:$G$204,"Opcional")</f>
        <v>11</v>
      </c>
      <c r="G5" s="19" t="n">
        <f aca="false">SUMIFS(Tecnologías!$D$2:$D$204,Tecnologías!$F$2:$F$204,B5,Tecnologías!$G$2:$G$204,"Vertebral",Tecnologías!$C$2:$C$204,"&lt;=4")</f>
        <v>240</v>
      </c>
      <c r="H5" s="19" t="n">
        <f aca="false">SUMIFS(Tecnologías!$D$2:$D$204,Tecnologías!$F$2:$F$204,B5,Tecnologías!$G$2:$G$204,"Vertebral")</f>
        <v>340</v>
      </c>
      <c r="I5" s="20" t="n">
        <f aca="false">AVERAGEIF(Tecnologías!$F$2:$F$204,B5,Tecnologías!$N$2:$N$204)</f>
        <v>3.64705882352941</v>
      </c>
      <c r="J5" s="19" t="n">
        <f aca="false">COUNTIFS(Tecnologías!$F$2:$F$204,B5,Tecnologías!$O$2:$O$204,"Alto")</f>
        <v>1</v>
      </c>
    </row>
    <row r="6" customFormat="false" ht="15" hidden="false" customHeight="false" outlineLevel="0" collapsed="false">
      <c r="B6" s="18" t="s">
        <v>164</v>
      </c>
      <c r="C6" s="19" t="s">
        <v>64</v>
      </c>
      <c r="D6" s="19" t="n">
        <f aca="false">COUNTIF(Tecnologías!$F$2:$F$204,B6)</f>
        <v>14</v>
      </c>
      <c r="E6" s="19" t="n">
        <f aca="false">COUNTIFS(Tecnologías!$F$2:$F$204,B6,Tecnologías!$G$2:$G$204,"Vertebral")</f>
        <v>6</v>
      </c>
      <c r="F6" s="19" t="n">
        <f aca="false">COUNTIFS(Tecnologías!$F$2:$F$204,B6,Tecnologías!$G$2:$G$204,"Opcional")</f>
        <v>8</v>
      </c>
      <c r="G6" s="19" t="n">
        <f aca="false">SUMIFS(Tecnologías!$D$2:$D$204,Tecnologías!$F$2:$F$204,B6,Tecnologías!$G$2:$G$204,"Vertebral",Tecnologías!$C$2:$C$204,"&lt;=4")</f>
        <v>240</v>
      </c>
      <c r="H6" s="19" t="n">
        <f aca="false">SUMIFS(Tecnologías!$D$2:$D$204,Tecnologías!$F$2:$F$204,B6,Tecnologías!$G$2:$G$204,"Vertebral")</f>
        <v>340</v>
      </c>
      <c r="I6" s="20" t="n">
        <f aca="false">AVERAGEIF(Tecnologías!$F$2:$F$204,B6,Tecnologías!$N$2:$N$204)</f>
        <v>3.64285714285714</v>
      </c>
      <c r="J6" s="19" t="n">
        <f aca="false">COUNTIFS(Tecnologías!$F$2:$F$204,B6,Tecnologías!$O$2:$O$204,"Alto")</f>
        <v>1</v>
      </c>
    </row>
    <row r="7" customFormat="false" ht="15" hidden="false" customHeight="false" outlineLevel="0" collapsed="false">
      <c r="B7" s="18" t="s">
        <v>232</v>
      </c>
      <c r="C7" s="19" t="s">
        <v>64</v>
      </c>
      <c r="D7" s="19" t="n">
        <f aca="false">COUNTIF(Tecnologías!$F$2:$F$204,B7)</f>
        <v>20</v>
      </c>
      <c r="E7" s="19" t="n">
        <f aca="false">COUNTIFS(Tecnologías!$F$2:$F$204,B7,Tecnologías!$G$2:$G$204,"Vertebral")</f>
        <v>6</v>
      </c>
      <c r="F7" s="19" t="n">
        <f aca="false">COUNTIFS(Tecnologías!$F$2:$F$204,B7,Tecnologías!$G$2:$G$204,"Opcional")</f>
        <v>14</v>
      </c>
      <c r="G7" s="19" t="n">
        <f aca="false">SUMIFS(Tecnologías!$D$2:$D$204,Tecnologías!$F$2:$F$204,B7,Tecnologías!$G$2:$G$204,"Vertebral",Tecnologías!$C$2:$C$204,"&lt;=4")</f>
        <v>240</v>
      </c>
      <c r="H7" s="19" t="n">
        <f aca="false">SUMIFS(Tecnologías!$D$2:$D$204,Tecnologías!$F$2:$F$204,B7,Tecnologías!$G$2:$G$204,"Vertebral")</f>
        <v>340</v>
      </c>
      <c r="I7" s="20" t="n">
        <f aca="false">AVERAGEIF(Tecnologías!$F$2:$F$204,B7,Tecnologías!$N$2:$N$204)</f>
        <v>3.5</v>
      </c>
      <c r="J7" s="19" t="n">
        <f aca="false">COUNTIFS(Tecnologías!$F$2:$F$204,B7,Tecnologías!$O$2:$O$204,"Alto")</f>
        <v>1</v>
      </c>
    </row>
    <row r="8" customFormat="false" ht="15" hidden="false" customHeight="false" outlineLevel="0" collapsed="false">
      <c r="B8" s="18" t="s">
        <v>325</v>
      </c>
      <c r="C8" s="19" t="s">
        <v>64</v>
      </c>
      <c r="D8" s="19" t="n">
        <f aca="false">COUNTIF(Tecnologías!$F$2:$F$204,B8)</f>
        <v>21</v>
      </c>
      <c r="E8" s="19" t="n">
        <f aca="false">COUNTIFS(Tecnologías!$F$2:$F$204,B8,Tecnologías!$G$2:$G$204,"Vertebral")</f>
        <v>7</v>
      </c>
      <c r="F8" s="19" t="n">
        <f aca="false">COUNTIFS(Tecnologías!$F$2:$F$204,B8,Tecnologías!$G$2:$G$204,"Opcional")</f>
        <v>14</v>
      </c>
      <c r="G8" s="19" t="n">
        <f aca="false">SUMIFS(Tecnologías!$D$2:$D$204,Tecnologías!$F$2:$F$204,B8,Tecnologías!$G$2:$G$204,"Vertebral",Tecnologías!$C$2:$C$204,"&lt;=4")</f>
        <v>320</v>
      </c>
      <c r="H8" s="19" t="n">
        <f aca="false">SUMIFS(Tecnologías!$D$2:$D$204,Tecnologías!$F$2:$F$204,B8,Tecnologías!$G$2:$G$204,"Vertebral")</f>
        <v>420</v>
      </c>
      <c r="I8" s="20" t="n">
        <f aca="false">AVERAGEIF(Tecnologías!$F$2:$F$204,B8,Tecnologías!$N$2:$N$204)</f>
        <v>3.57142857142857</v>
      </c>
      <c r="J8" s="19" t="n">
        <f aca="false">COUNTIFS(Tecnologías!$F$2:$F$204,B8,Tecnologías!$O$2:$O$204,"Alto")</f>
        <v>2</v>
      </c>
    </row>
    <row r="9" customFormat="false" ht="15" hidden="false" customHeight="false" outlineLevel="0" collapsed="false">
      <c r="B9" s="18" t="s">
        <v>427</v>
      </c>
      <c r="C9" s="19" t="s">
        <v>101</v>
      </c>
      <c r="D9" s="19" t="n">
        <f aca="false">COUNTIF(Tecnologías!$F$2:$F$204,B9)</f>
        <v>19</v>
      </c>
      <c r="E9" s="19" t="n">
        <f aca="false">COUNTIFS(Tecnologías!$F$2:$F$204,B9,Tecnologías!$G$2:$G$204,"Vertebral")</f>
        <v>6</v>
      </c>
      <c r="F9" s="19" t="n">
        <f aca="false">COUNTIFS(Tecnologías!$F$2:$F$204,B9,Tecnologías!$G$2:$G$204,"Opcional")</f>
        <v>13</v>
      </c>
      <c r="G9" s="19" t="n">
        <f aca="false">SUMIFS(Tecnologías!$D$2:$D$204,Tecnologías!$F$2:$F$204,B9,Tecnologías!$G$2:$G$204,"Vertebral",Tecnologías!$C$2:$C$204,"&lt;=4")</f>
        <v>180</v>
      </c>
      <c r="H9" s="19" t="n">
        <f aca="false">SUMIFS(Tecnologías!$D$2:$D$204,Tecnologías!$F$2:$F$204,B9,Tecnologías!$G$2:$G$204,"Vertebral")</f>
        <v>280</v>
      </c>
      <c r="I9" s="20" t="n">
        <f aca="false">AVERAGEIF(Tecnologías!$F$2:$F$204,B9,Tecnologías!$N$2:$N$204)</f>
        <v>3.68421052631579</v>
      </c>
      <c r="J9" s="19" t="n">
        <f aca="false">COUNTIFS(Tecnologías!$F$2:$F$204,B9,Tecnologías!$O$2:$O$204,"Alto")</f>
        <v>4</v>
      </c>
    </row>
    <row r="10" customFormat="false" ht="15" hidden="false" customHeight="false" outlineLevel="0" collapsed="false">
      <c r="B10" s="18" t="s">
        <v>520</v>
      </c>
      <c r="C10" s="19" t="s">
        <v>101</v>
      </c>
      <c r="D10" s="19" t="n">
        <f aca="false">COUNTIF(Tecnologías!$F$2:$F$204,B10)</f>
        <v>13</v>
      </c>
      <c r="E10" s="19" t="n">
        <f aca="false">COUNTIFS(Tecnologías!$F$2:$F$204,B10,Tecnologías!$G$2:$G$204,"Vertebral")</f>
        <v>6</v>
      </c>
      <c r="F10" s="19" t="n">
        <f aca="false">COUNTIFS(Tecnologías!$F$2:$F$204,B10,Tecnologías!$G$2:$G$204,"Opcional")</f>
        <v>7</v>
      </c>
      <c r="G10" s="19" t="n">
        <f aca="false">SUMIFS(Tecnologías!$D$2:$D$204,Tecnologías!$F$2:$F$204,B10,Tecnologías!$G$2:$G$204,"Vertebral",Tecnologías!$C$2:$C$204,"&lt;=4")</f>
        <v>280</v>
      </c>
      <c r="H10" s="19" t="n">
        <f aca="false">SUMIFS(Tecnologías!$D$2:$D$204,Tecnologías!$F$2:$F$204,B10,Tecnologías!$G$2:$G$204,"Vertebral")</f>
        <v>380</v>
      </c>
      <c r="I10" s="20" t="n">
        <f aca="false">AVERAGEIF(Tecnologías!$F$2:$F$204,B10,Tecnologías!$N$2:$N$204)</f>
        <v>3.30769230769231</v>
      </c>
      <c r="J10" s="19" t="n">
        <f aca="false">COUNTIFS(Tecnologías!$F$2:$F$204,B10,Tecnologías!$O$2:$O$204,"Alto")</f>
        <v>3</v>
      </c>
    </row>
    <row r="11" customFormat="false" ht="15" hidden="false" customHeight="false" outlineLevel="0" collapsed="false">
      <c r="B11" s="18" t="s">
        <v>583</v>
      </c>
      <c r="C11" s="19" t="s">
        <v>101</v>
      </c>
      <c r="D11" s="19" t="n">
        <f aca="false">COUNTIF(Tecnologías!$F$2:$F$204,B11)</f>
        <v>18</v>
      </c>
      <c r="E11" s="19" t="n">
        <f aca="false">COUNTIFS(Tecnologías!$F$2:$F$204,B11,Tecnologías!$G$2:$G$204,"Vertebral")</f>
        <v>7</v>
      </c>
      <c r="F11" s="19" t="n">
        <f aca="false">COUNTIFS(Tecnologías!$F$2:$F$204,B11,Tecnologías!$G$2:$G$204,"Opcional")</f>
        <v>11</v>
      </c>
      <c r="G11" s="19" t="n">
        <f aca="false">SUMIFS(Tecnologías!$D$2:$D$204,Tecnologías!$F$2:$F$204,B11,Tecnologías!$G$2:$G$204,"Vertebral",Tecnologías!$C$2:$C$204,"&lt;=4")</f>
        <v>240</v>
      </c>
      <c r="H11" s="19" t="n">
        <f aca="false">SUMIFS(Tecnologías!$D$2:$D$204,Tecnologías!$F$2:$F$204,B11,Tecnologías!$G$2:$G$204,"Vertebral")</f>
        <v>340</v>
      </c>
      <c r="I11" s="20" t="n">
        <f aca="false">AVERAGEIF(Tecnologías!$F$2:$F$204,B11,Tecnologías!$N$2:$N$204)</f>
        <v>3.33333333333333</v>
      </c>
      <c r="J11" s="19" t="n">
        <f aca="false">COUNTIFS(Tecnologías!$F$2:$F$204,B11,Tecnologías!$O$2:$O$204,"Alto")</f>
        <v>4</v>
      </c>
    </row>
    <row r="12" customFormat="false" ht="15" hidden="false" customHeight="false" outlineLevel="0" collapsed="false">
      <c r="B12" s="18" t="s">
        <v>671</v>
      </c>
      <c r="C12" s="19" t="s">
        <v>64</v>
      </c>
      <c r="D12" s="19" t="n">
        <f aca="false">COUNTIF(Tecnologías!$F$2:$F$204,B12)</f>
        <v>12</v>
      </c>
      <c r="E12" s="19" t="n">
        <f aca="false">COUNTIFS(Tecnologías!$F$2:$F$204,B12,Tecnologías!$G$2:$G$204,"Vertebral")</f>
        <v>7</v>
      </c>
      <c r="F12" s="19" t="n">
        <f aca="false">COUNTIFS(Tecnologías!$F$2:$F$204,B12,Tecnologías!$G$2:$G$204,"Opcional")</f>
        <v>5</v>
      </c>
      <c r="G12" s="19" t="n">
        <f aca="false">SUMIFS(Tecnologías!$D$2:$D$204,Tecnologías!$F$2:$F$204,B12,Tecnologías!$G$2:$G$204,"Vertebral",Tecnologías!$C$2:$C$204,"&lt;=4")</f>
        <v>260</v>
      </c>
      <c r="H12" s="19" t="n">
        <f aca="false">SUMIFS(Tecnologías!$D$2:$D$204,Tecnologías!$F$2:$F$204,B12,Tecnologías!$G$2:$G$204,"Vertebral")</f>
        <v>360</v>
      </c>
      <c r="I12" s="20" t="n">
        <f aca="false">AVERAGEIF(Tecnologías!$F$2:$F$204,B12,Tecnologías!$N$2:$N$204)</f>
        <v>3.16666666666667</v>
      </c>
      <c r="J12" s="19" t="n">
        <f aca="false">COUNTIFS(Tecnologías!$F$2:$F$204,B12,Tecnologías!$O$2:$O$204,"Alto")</f>
        <v>0</v>
      </c>
    </row>
    <row r="13" customFormat="false" ht="15" hidden="false" customHeight="false" outlineLevel="0" collapsed="false">
      <c r="B13" s="18" t="s">
        <v>730</v>
      </c>
      <c r="C13" s="19" t="s">
        <v>650</v>
      </c>
      <c r="D13" s="19" t="n">
        <f aca="false">COUNTIF(Tecnologías!$F$2:$F$204,B13)</f>
        <v>23</v>
      </c>
      <c r="E13" s="19" t="n">
        <f aca="false">COUNTIFS(Tecnologías!$F$2:$F$204,B13,Tecnologías!$G$2:$G$204,"Vertebral")</f>
        <v>7</v>
      </c>
      <c r="F13" s="19" t="n">
        <f aca="false">COUNTIFS(Tecnologías!$F$2:$F$204,B13,Tecnologías!$G$2:$G$204,"Opcional")</f>
        <v>16</v>
      </c>
      <c r="G13" s="19" t="n">
        <f aca="false">SUMIFS(Tecnologías!$D$2:$D$204,Tecnologías!$F$2:$F$204,B13,Tecnologías!$G$2:$G$204,"Vertebral",Tecnologías!$C$2:$C$204,"&lt;=4")</f>
        <v>340</v>
      </c>
      <c r="H13" s="19" t="n">
        <f aca="false">SUMIFS(Tecnologías!$D$2:$D$204,Tecnologías!$F$2:$F$204,B13,Tecnologías!$G$2:$G$204,"Vertebral")</f>
        <v>440</v>
      </c>
      <c r="I13" s="20" t="n">
        <f aca="false">AVERAGEIF(Tecnologías!$F$2:$F$204,B13,Tecnologías!$N$2:$N$204)</f>
        <v>3.39130434782609</v>
      </c>
      <c r="J13" s="19" t="n">
        <f aca="false">COUNTIFS(Tecnologías!$F$2:$F$204,B13,Tecnologías!$O$2:$O$204,"Alto")</f>
        <v>5</v>
      </c>
    </row>
    <row r="14" customFormat="false" ht="15" hidden="false" customHeight="false" outlineLevel="0" collapsed="false">
      <c r="B14" s="18" t="s">
        <v>847</v>
      </c>
      <c r="C14" s="19" t="s">
        <v>650</v>
      </c>
      <c r="D14" s="19" t="n">
        <f aca="false">COUNTIF(Tecnologías!$F$2:$F$204,B14)</f>
        <v>14</v>
      </c>
      <c r="E14" s="19" t="n">
        <f aca="false">COUNTIFS(Tecnologías!$F$2:$F$204,B14,Tecnologías!$G$2:$G$204,"Vertebral")</f>
        <v>6</v>
      </c>
      <c r="F14" s="19" t="n">
        <f aca="false">COUNTIFS(Tecnologías!$F$2:$F$204,B14,Tecnologías!$G$2:$G$204,"Opcional")</f>
        <v>8</v>
      </c>
      <c r="G14" s="19" t="n">
        <f aca="false">SUMIFS(Tecnologías!$D$2:$D$204,Tecnologías!$F$2:$F$204,B14,Tecnologías!$G$2:$G$204,"Vertebral",Tecnologías!$C$2:$C$204,"&lt;=4")</f>
        <v>220</v>
      </c>
      <c r="H14" s="19" t="n">
        <f aca="false">SUMIFS(Tecnologías!$D$2:$D$204,Tecnologías!$F$2:$F$204,B14,Tecnologías!$G$2:$G$204,"Vertebral")</f>
        <v>320</v>
      </c>
      <c r="I14" s="20" t="n">
        <f aca="false">AVERAGEIF(Tecnologías!$F$2:$F$204,B14,Tecnologías!$N$2:$N$204)</f>
        <v>3.21428571428571</v>
      </c>
      <c r="J14" s="19" t="n">
        <f aca="false">COUNTIFS(Tecnologías!$F$2:$F$204,B14,Tecnologías!$O$2:$O$204,"Alto")</f>
        <v>3</v>
      </c>
    </row>
    <row r="15" customFormat="false" ht="15" hidden="false" customHeight="false" outlineLevel="0" collapsed="false">
      <c r="B15" s="18" t="s">
        <v>913</v>
      </c>
      <c r="C15" s="19" t="s">
        <v>650</v>
      </c>
      <c r="D15" s="19" t="n">
        <f aca="false">COUNTIF(Tecnologías!$F$2:$F$204,B15)</f>
        <v>12</v>
      </c>
      <c r="E15" s="19" t="n">
        <f aca="false">COUNTIFS(Tecnologías!$F$2:$F$204,B15,Tecnologías!$G$2:$G$204,"Vertebral")</f>
        <v>6</v>
      </c>
      <c r="F15" s="19" t="n">
        <f aca="false">COUNTIFS(Tecnologías!$F$2:$F$204,B15,Tecnologías!$G$2:$G$204,"Opcional")</f>
        <v>6</v>
      </c>
      <c r="G15" s="19" t="n">
        <f aca="false">SUMIFS(Tecnologías!$D$2:$D$204,Tecnologías!$F$2:$F$204,B15,Tecnologías!$G$2:$G$204,"Vertebral",Tecnologías!$C$2:$C$204,"&lt;=4")</f>
        <v>260</v>
      </c>
      <c r="H15" s="19" t="n">
        <f aca="false">SUMIFS(Tecnologías!$D$2:$D$204,Tecnologías!$F$2:$F$204,B15,Tecnologías!$G$2:$G$204,"Vertebral")</f>
        <v>360</v>
      </c>
      <c r="I15" s="20" t="n">
        <f aca="false">AVERAGEIF(Tecnologías!$F$2:$F$204,B15,Tecnologías!$N$2:$N$204)</f>
        <v>3.33333333333333</v>
      </c>
      <c r="J15" s="19" t="n">
        <f aca="false">COUNTIFS(Tecnologías!$F$2:$F$204,B15,Tecnologías!$O$2:$O$204,"Alto")</f>
        <v>1</v>
      </c>
    </row>
    <row r="16" customFormat="false" ht="15" hidden="false" customHeight="false" outlineLevel="0" collapsed="false">
      <c r="B16" s="18" t="s">
        <v>969</v>
      </c>
      <c r="C16" s="19" t="s">
        <v>650</v>
      </c>
      <c r="D16" s="19" t="n">
        <f aca="false">COUNTIF(Tecnologías!$F$2:$F$204,B16)</f>
        <v>20</v>
      </c>
      <c r="E16" s="19" t="n">
        <f aca="false">COUNTIFS(Tecnologías!$F$2:$F$204,B16,Tecnologías!$G$2:$G$204,"Vertebral")</f>
        <v>7</v>
      </c>
      <c r="F16" s="19" t="n">
        <f aca="false">COUNTIFS(Tecnologías!$F$2:$F$204,B16,Tecnologías!$G$2:$G$204,"Opcional")</f>
        <v>13</v>
      </c>
      <c r="G16" s="19" t="n">
        <f aca="false">SUMIFS(Tecnologías!$D$2:$D$204,Tecnologías!$F$2:$F$204,B16,Tecnologías!$G$2:$G$204,"Vertebral",Tecnologías!$C$2:$C$204,"&lt;=4")</f>
        <v>340</v>
      </c>
      <c r="H16" s="19" t="n">
        <f aca="false">SUMIFS(Tecnologías!$D$2:$D$204,Tecnologías!$F$2:$F$204,B16,Tecnologías!$G$2:$G$204,"Vertebral")</f>
        <v>440</v>
      </c>
      <c r="I16" s="20" t="n">
        <f aca="false">AVERAGEIF(Tecnologías!$F$2:$F$204,B16,Tecnologías!$N$2:$N$204)</f>
        <v>2.95</v>
      </c>
      <c r="J16" s="19" t="n">
        <f aca="false">COUNTIFS(Tecnologías!$F$2:$F$204,B16,Tecnologías!$O$2:$O$204,"Alto")</f>
        <v>2</v>
      </c>
    </row>
    <row r="17" customFormat="false" ht="15" hidden="false" customHeight="false" outlineLevel="0" collapsed="false">
      <c r="B17" s="21" t="s">
        <v>1069</v>
      </c>
      <c r="D17" s="22" t="n">
        <f aca="false">SUM(D5:D16)</f>
        <v>203</v>
      </c>
      <c r="E17" s="22" t="n">
        <f aca="false">SUM(E5:E16)</f>
        <v>77</v>
      </c>
      <c r="F17" s="22" t="n">
        <f aca="false">SUM(F5:F16)</f>
        <v>126</v>
      </c>
      <c r="G17" s="22" t="n">
        <f aca="false">SUM(G5:G16)</f>
        <v>3160</v>
      </c>
      <c r="H17" s="22" t="n">
        <f aca="false">SUM(H5:H16)</f>
        <v>4360</v>
      </c>
      <c r="J17" s="22" t="n">
        <f aca="false">SUM(J5:J16)</f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8" min="7" style="0" width="14"/>
  </cols>
  <sheetData>
    <row r="1" customFormat="false" ht="19.7" hidden="false" customHeight="false" outlineLevel="0" collapsed="false">
      <c r="B1" s="1" t="s">
        <v>1070</v>
      </c>
    </row>
    <row r="3" customFormat="false" ht="15" hidden="false" customHeight="false" outlineLevel="0" collapsed="false">
      <c r="B3" s="21" t="s">
        <v>1071</v>
      </c>
    </row>
    <row r="4" customFormat="false" ht="15" hidden="false" customHeight="false" outlineLevel="0" collapsed="false">
      <c r="B4" s="23" t="s">
        <v>52</v>
      </c>
      <c r="C4" s="23" t="s">
        <v>64</v>
      </c>
      <c r="D4" s="23" t="s">
        <v>101</v>
      </c>
      <c r="E4" s="23" t="s">
        <v>650</v>
      </c>
      <c r="F4" s="23" t="s">
        <v>1069</v>
      </c>
      <c r="G4" s="23" t="s">
        <v>1072</v>
      </c>
      <c r="H4" s="23" t="s">
        <v>1073</v>
      </c>
    </row>
    <row r="5" customFormat="false" ht="15" hidden="false" customHeight="false" outlineLevel="0" collapsed="false">
      <c r="B5" s="18" t="n">
        <v>1</v>
      </c>
      <c r="C5" s="19" t="n">
        <f aca="false">COUNTIFS(Tecnologías!$C$2:$C$204,$B5,Tecnologías!$E$2:$E$204,"Civil")</f>
        <v>8</v>
      </c>
      <c r="D5" s="19" t="n">
        <f aca="false">COUNTIFS(Tecnologías!$C$2:$C$204,$B5,Tecnologías!$E$2:$E$204,"Construcción")</f>
        <v>7</v>
      </c>
      <c r="E5" s="19" t="n">
        <f aca="false">COUNTIFS(Tecnologías!$C$2:$C$204,$B5,Tecnologías!$E$2:$E$204,"Militar")</f>
        <v>5</v>
      </c>
      <c r="F5" s="19" t="n">
        <f aca="false">SUM(C5:E5)</f>
        <v>20</v>
      </c>
      <c r="G5" s="19" t="n">
        <f aca="false">B5*Reglas!$C$5</f>
        <v>20</v>
      </c>
      <c r="H5" s="24" t="n">
        <f aca="false">F5*G5</f>
        <v>400</v>
      </c>
    </row>
    <row r="6" customFormat="false" ht="15" hidden="false" customHeight="false" outlineLevel="0" collapsed="false">
      <c r="B6" s="18" t="n">
        <v>2</v>
      </c>
      <c r="C6" s="19" t="n">
        <f aca="false">COUNTIFS(Tecnologías!$C$2:$C$204,$B6,Tecnologías!$E$2:$E$204,"Civil")</f>
        <v>23</v>
      </c>
      <c r="D6" s="19" t="n">
        <f aca="false">COUNTIFS(Tecnologías!$C$2:$C$204,$B6,Tecnologías!$E$2:$E$204,"Construcción")</f>
        <v>12</v>
      </c>
      <c r="E6" s="19" t="n">
        <f aca="false">COUNTIFS(Tecnologías!$C$2:$C$204,$B6,Tecnologías!$E$2:$E$204,"Militar")</f>
        <v>13</v>
      </c>
      <c r="F6" s="19" t="n">
        <f aca="false">SUM(C6:E6)</f>
        <v>48</v>
      </c>
      <c r="G6" s="19" t="n">
        <f aca="false">B6*Reglas!$C$5</f>
        <v>40</v>
      </c>
      <c r="H6" s="24" t="n">
        <f aca="false">F6*G6</f>
        <v>1920</v>
      </c>
    </row>
    <row r="7" customFormat="false" ht="15" hidden="false" customHeight="false" outlineLevel="0" collapsed="false">
      <c r="B7" s="18" t="n">
        <v>3</v>
      </c>
      <c r="C7" s="19" t="n">
        <f aca="false">COUNTIFS(Tecnologías!$C$2:$C$204,$B7,Tecnologías!$E$2:$E$204,"Civil")</f>
        <v>20</v>
      </c>
      <c r="D7" s="19" t="n">
        <f aca="false">COUNTIFS(Tecnologías!$C$2:$C$204,$B7,Tecnologías!$E$2:$E$204,"Construcción")</f>
        <v>11</v>
      </c>
      <c r="E7" s="19" t="n">
        <f aca="false">COUNTIFS(Tecnologías!$C$2:$C$204,$B7,Tecnologías!$E$2:$E$204,"Militar")</f>
        <v>20</v>
      </c>
      <c r="F7" s="19" t="n">
        <f aca="false">SUM(C7:E7)</f>
        <v>51</v>
      </c>
      <c r="G7" s="19" t="n">
        <f aca="false">B7*Reglas!$C$5</f>
        <v>60</v>
      </c>
      <c r="H7" s="24" t="n">
        <f aca="false">F7*G7</f>
        <v>3060</v>
      </c>
    </row>
    <row r="8" customFormat="false" ht="15" hidden="false" customHeight="false" outlineLevel="0" collapsed="false">
      <c r="B8" s="18" t="n">
        <v>4</v>
      </c>
      <c r="C8" s="19" t="n">
        <f aca="false">COUNTIFS(Tecnologías!$C$2:$C$204,$B8,Tecnologías!$E$2:$E$204,"Civil")</f>
        <v>17</v>
      </c>
      <c r="D8" s="19" t="n">
        <f aca="false">COUNTIFS(Tecnologías!$C$2:$C$204,$B8,Tecnologías!$E$2:$E$204,"Construcción")</f>
        <v>13</v>
      </c>
      <c r="E8" s="19" t="n">
        <f aca="false">COUNTIFS(Tecnologías!$C$2:$C$204,$B8,Tecnologías!$E$2:$E$204,"Militar")</f>
        <v>19</v>
      </c>
      <c r="F8" s="19" t="n">
        <f aca="false">SUM(C8:E8)</f>
        <v>49</v>
      </c>
      <c r="G8" s="19" t="n">
        <f aca="false">B8*Reglas!$C$5</f>
        <v>80</v>
      </c>
      <c r="H8" s="24" t="n">
        <f aca="false">F8*G8</f>
        <v>3920</v>
      </c>
    </row>
    <row r="9" customFormat="false" ht="15" hidden="false" customHeight="false" outlineLevel="0" collapsed="false">
      <c r="B9" s="18" t="n">
        <v>5</v>
      </c>
      <c r="C9" s="19" t="n">
        <f aca="false">COUNTIFS(Tecnologías!$C$2:$C$204,$B9,Tecnologías!$E$2:$E$204,"Civil")</f>
        <v>11</v>
      </c>
      <c r="D9" s="19" t="n">
        <f aca="false">COUNTIFS(Tecnologías!$C$2:$C$204,$B9,Tecnologías!$E$2:$E$204,"Construcción")</f>
        <v>11</v>
      </c>
      <c r="E9" s="19" t="n">
        <f aca="false">COUNTIFS(Tecnologías!$C$2:$C$204,$B9,Tecnologías!$E$2:$E$204,"Militar")</f>
        <v>13</v>
      </c>
      <c r="F9" s="19" t="n">
        <f aca="false">SUM(C9:E9)</f>
        <v>35</v>
      </c>
      <c r="G9" s="19" t="n">
        <f aca="false">B9*Reglas!$C$5</f>
        <v>100</v>
      </c>
      <c r="H9" s="24" t="n">
        <f aca="false">F9*G9</f>
        <v>3500</v>
      </c>
    </row>
    <row r="10" customFormat="false" ht="15" hidden="false" customHeight="false" outlineLevel="0" collapsed="false">
      <c r="B10" s="18" t="s">
        <v>1069</v>
      </c>
      <c r="C10" s="19" t="n">
        <f aca="false">SUM(C5:C9)</f>
        <v>79</v>
      </c>
      <c r="D10" s="19" t="n">
        <f aca="false">SUM(D5:D9)</f>
        <v>54</v>
      </c>
      <c r="E10" s="19" t="n">
        <f aca="false">SUM(E5:E9)</f>
        <v>70</v>
      </c>
      <c r="F10" s="19" t="n">
        <f aca="false">SUM(F5:F9)</f>
        <v>203</v>
      </c>
      <c r="H10" s="24" t="n">
        <f aca="false">SUM(H5:H9)</f>
        <v>12800</v>
      </c>
    </row>
    <row r="12" customFormat="false" ht="15" hidden="false" customHeight="false" outlineLevel="0" collapsed="false">
      <c r="B12" s="21" t="s">
        <v>1074</v>
      </c>
    </row>
    <row r="13" customFormat="false" ht="23.85" hidden="false" customHeight="false" outlineLevel="0" collapsed="false">
      <c r="B13" s="23" t="s">
        <v>31</v>
      </c>
      <c r="C13" s="23" t="s">
        <v>1075</v>
      </c>
      <c r="D13" s="23" t="s">
        <v>1067</v>
      </c>
    </row>
    <row r="14" customFormat="false" ht="15" hidden="false" customHeight="false" outlineLevel="0" collapsed="false">
      <c r="B14" s="18" t="s">
        <v>106</v>
      </c>
      <c r="C14" s="19" t="n">
        <f aca="false">COUNTIF(Tecnologías!$M$2:$M$204,B14)</f>
        <v>36</v>
      </c>
      <c r="D14" s="20" t="n">
        <f aca="false">AVERAGEIF(Tecnologías!$M$2:$M$204,B14,Tecnologías!$N$2:$N$204)</f>
        <v>3.91666666666667</v>
      </c>
    </row>
    <row r="15" customFormat="false" ht="15" hidden="false" customHeight="false" outlineLevel="0" collapsed="false">
      <c r="B15" s="18" t="s">
        <v>70</v>
      </c>
      <c r="C15" s="19" t="n">
        <f aca="false">COUNTIF(Tecnologías!$M$2:$M$204,B15)</f>
        <v>167</v>
      </c>
      <c r="D15" s="20" t="n">
        <f aca="false">AVERAGEIF(Tecnologías!$M$2:$M$204,B15,Tecnologías!$N$2:$N$204)</f>
        <v>3.29341317365269</v>
      </c>
    </row>
    <row r="16" customFormat="false" ht="15" hidden="false" customHeight="false" outlineLevel="0" collapsed="false">
      <c r="B16" s="18" t="s">
        <v>1076</v>
      </c>
      <c r="C16" s="19" t="n">
        <f aca="false">SUM(C14:C15)</f>
        <v>203</v>
      </c>
      <c r="D16" s="20" t="n">
        <f aca="false">AVERAGE(Tecnologías!$N$2:$N$204)</f>
        <v>3.40394088669951</v>
      </c>
    </row>
    <row r="18" customFormat="false" ht="15" hidden="false" customHeight="false" outlineLevel="0" collapsed="false">
      <c r="B18" s="21" t="s">
        <v>29</v>
      </c>
    </row>
    <row r="19" customFormat="false" ht="15" hidden="false" customHeight="false" outlineLevel="0" collapsed="false">
      <c r="B19" s="23" t="s">
        <v>1077</v>
      </c>
      <c r="C19" s="23" t="s">
        <v>1075</v>
      </c>
    </row>
    <row r="20" customFormat="false" ht="15" hidden="false" customHeight="false" outlineLevel="0" collapsed="false">
      <c r="B20" s="18" t="s">
        <v>155</v>
      </c>
      <c r="C20" s="19" t="n">
        <f aca="false">COUNTIF(Tecnologías!$O$2:$O$204,B20)</f>
        <v>27</v>
      </c>
    </row>
    <row r="21" customFormat="false" ht="15" hidden="false" customHeight="false" outlineLevel="0" collapsed="false">
      <c r="B21" s="18" t="s">
        <v>124</v>
      </c>
      <c r="C21" s="19" t="n">
        <f aca="false">COUNTIF(Tecnologías!$O$2:$O$204,B21)</f>
        <v>75</v>
      </c>
    </row>
    <row r="22" customFormat="false" ht="15" hidden="false" customHeight="false" outlineLevel="0" collapsed="false">
      <c r="B22" s="18" t="s">
        <v>71</v>
      </c>
      <c r="C22" s="19" t="n">
        <f aca="false">COUNTIF(Tecnologías!$O$2:$O$204,B22)</f>
        <v>101</v>
      </c>
    </row>
    <row r="24" customFormat="false" ht="15" hidden="false" customHeight="false" outlineLevel="0" collapsed="false">
      <c r="B24" s="21" t="s">
        <v>1078</v>
      </c>
    </row>
    <row r="25" customFormat="false" ht="15" hidden="false" customHeight="false" outlineLevel="0" collapsed="false">
      <c r="B25" s="23" t="s">
        <v>25</v>
      </c>
      <c r="C25" s="23" t="s">
        <v>1075</v>
      </c>
      <c r="D25" s="23" t="s">
        <v>1073</v>
      </c>
    </row>
    <row r="26" customFormat="false" ht="15" hidden="false" customHeight="false" outlineLevel="0" collapsed="false">
      <c r="B26" s="18" t="s">
        <v>66</v>
      </c>
      <c r="C26" s="19" t="n">
        <f aca="false">COUNTIF(Tecnologías!$G$2:$G$204,B26)</f>
        <v>77</v>
      </c>
      <c r="D26" s="24" t="n">
        <f aca="false">SUMIF(Tecnologías!$G$2:$G$204,B26,Tecnologías!$D$2:$D$204)</f>
        <v>4360</v>
      </c>
    </row>
    <row r="27" customFormat="false" ht="15" hidden="false" customHeight="false" outlineLevel="0" collapsed="false">
      <c r="B27" s="18" t="s">
        <v>102</v>
      </c>
      <c r="C27" s="19" t="n">
        <f aca="false">COUNTIF(Tecnologías!$G$2:$G$204,B27)</f>
        <v>126</v>
      </c>
      <c r="D27" s="24" t="n">
        <f aca="false">SUMIF(Tecnologías!$G$2:$G$204,B27,Tecnologías!$D$2:$D$204)</f>
        <v>8260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2026-10-26T04:30:27Z</dcterms:created>
  <dc:creator>openpyxl</dc:creator>
  <dc:description/>
  <dc:language>en-US</dc:language>
  <cp:lastModifiedBy/>
  <dcterms:modified xsi:type="dcterms:W3CDTF">2026-10-26T04:30:27Z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