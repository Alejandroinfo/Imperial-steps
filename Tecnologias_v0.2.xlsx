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glas" sheetId="1" state="visible" r:id="rId1"/>
    <sheet xmlns:r="http://schemas.openxmlformats.org/officeDocument/2006/relationships" name="Tecnologías" sheetId="2" state="visible" r:id="rId2"/>
    <sheet xmlns:r="http://schemas.openxmlformats.org/officeDocument/2006/relationships" name="Ramas" sheetId="3" state="visible" r:id="rId3"/>
    <sheet xmlns:r="http://schemas.openxmlformats.org/officeDocument/2006/relationships" name="Resumen" sheetId="4" state="visible" r:id="rId4"/>
  </sheets>
  <definedNames>
    <definedName name="_xlnm._FilterDatabase" localSheetId="1" hidden="1">'Tecnologías'!$A$1:$Q$204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6"/>
    </font>
    <font>
      <name val="Arial"/>
      <charset val="1"/>
      <family val="0"/>
      <i val="1"/>
      <color rgb="FF555555"/>
      <sz val="9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DCE8EA"/>
        <bgColor rgb="FFD9E7F7"/>
      </patternFill>
    </fill>
    <fill>
      <patternFill patternType="solid">
        <fgColor rgb="FFFFF2B3"/>
        <bgColor rgb="FFFFF3C4"/>
      </patternFill>
    </fill>
    <fill>
      <patternFill patternType="solid">
        <fgColor rgb="FF1F3A44"/>
        <bgColor rgb="FF003366"/>
      </patternFill>
    </fill>
    <fill>
      <patternFill patternType="solid">
        <fgColor rgb="FFE7F1E2"/>
        <bgColor rgb="FFDCE8EA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3" fontId="7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9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164" fontId="7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bottom"/>
    </xf>
    <xf numFmtId="0" fontId="9" fillId="4" borderId="1" applyAlignment="1" pivotButton="0" quotePrefix="0" xfId="0">
      <alignment horizontal="center" vertical="bottom" wrapText="1"/>
    </xf>
    <xf numFmtId="3" fontId="7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top" wrapText="1"/>
    </xf>
    <xf numFmtId="3" fontId="7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9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164" fontId="7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bottom"/>
    </xf>
    <xf numFmtId="0" fontId="9" fillId="4" borderId="1" applyAlignment="1" pivotButton="0" quotePrefix="0" xfId="0">
      <alignment horizontal="center" vertical="bottom" wrapText="1"/>
    </xf>
    <xf numFmtId="3" fontId="7" fillId="0" borderId="1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3">
    <dxf>
      <fill>
        <patternFill patternType="solid">
          <fgColor rgb="FF1F3A44"/>
          <bgColor rgb="FF000000"/>
        </patternFill>
      </fill>
    </dxf>
    <dxf>
      <fill>
        <patternFill patternType="solid">
          <fgColor rgb="FFE7F1E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7F7"/>
          <bgColor rgb="FF000000"/>
        </patternFill>
      </fill>
    </dxf>
    <dxf>
      <fill>
        <patternFill patternType="solid">
          <fgColor rgb="FFB7E1B5"/>
          <bgColor rgb="FF000000"/>
        </patternFill>
      </fill>
    </dxf>
    <dxf>
      <fill>
        <patternFill patternType="solid">
          <fgColor rgb="FFDBEABD"/>
          <bgColor rgb="FF000000"/>
        </patternFill>
      </fill>
    </dxf>
    <dxf>
      <fill>
        <patternFill patternType="solid">
          <fgColor rgb="FFF9D4BA"/>
          <bgColor rgb="FF000000"/>
        </patternFill>
      </fill>
    </dxf>
    <dxf>
      <fill>
        <patternFill patternType="solid">
          <fgColor rgb="FFFFF3C4"/>
          <bgColor rgb="FF000000"/>
        </patternFill>
      </fill>
    </dxf>
    <dxf>
      <fill>
        <patternFill patternType="solid">
          <fgColor rgb="FFF4B6B0"/>
          <bgColor rgb="FF000000"/>
        </patternFill>
      </fill>
    </dxf>
    <dxf>
      <fill>
        <patternFill>
          <bgColor rgb="FFF4B6B0"/>
        </patternFill>
      </fill>
    </dxf>
    <dxf>
      <fill>
        <patternFill>
          <bgColor rgb="FFFFF3C4"/>
        </patternFill>
      </fill>
    </dxf>
    <dxf>
      <fill>
        <patternFill>
          <bgColor rgb="FFD9E7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3C4"/>
      <rgbColor rgb="FFD9E7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8EA"/>
      <rgbColor rgb="FFE7F1E2"/>
      <rgbColor rgb="FFFFF2B3"/>
      <rgbColor rgb="FF99CCFF"/>
      <rgbColor rgb="FFFF99CC"/>
      <rgbColor rgb="FFCC99FF"/>
      <rgbColor rgb="FFF4B6B0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1:D4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6" min="1" max="1"/>
    <col width="48" customWidth="1" style="26" min="2" max="2"/>
    <col width="14" customWidth="1" style="26" min="3" max="3"/>
    <col width="92" customWidth="1" style="26" min="4" max="4"/>
  </cols>
  <sheetData>
    <row r="1" ht="19.5" customHeight="1" s="27">
      <c r="B1" s="28" t="inlineStr">
        <is>
          <t>Árbol de tecnologías v0.2 — 203 propuestas en 12 ramas con columna vertebral</t>
        </is>
      </c>
    </row>
    <row r="2" ht="15" customHeight="1" s="27">
      <c r="B2" s="29" t="inlineStr">
        <is>
          <t>Todo es una propuesta para corregir. Las 36 tecnologías marcadas como 'Tuya' conservan tus efectos; los nombres, prerrequisitos y el resto son míos.</t>
        </is>
      </c>
    </row>
    <row r="4" ht="15" customHeight="1" s="27">
      <c r="B4" s="30" t="inlineStr">
        <is>
          <t>Parámetros (celdas amarillas: se pueden cambiar)</t>
        </is>
      </c>
      <c r="C4" s="31" t="n"/>
      <c r="D4" s="31" t="n"/>
    </row>
    <row r="5" ht="15" customHeight="1" s="27">
      <c r="B5" s="32" t="inlineStr">
        <is>
          <t>Costo por nivel (puntos de tecnología)</t>
        </is>
      </c>
      <c r="C5" s="33" t="n">
        <v>20</v>
      </c>
      <c r="D5" s="34" t="inlineStr">
        <is>
          <t>Tuyo: nivel 1 = 20, nivel 2 = 40 … nivel 5 = 100. El costo de cada tecnología es Nivel × este valor.</t>
        </is>
      </c>
    </row>
    <row r="6" ht="23.25" customHeight="1" s="27">
      <c r="B6" s="32" t="inlineStr">
        <is>
          <t>Mín. de tecnologías de nivel 1 para investigar una de nivel 2</t>
        </is>
      </c>
      <c r="C6" s="33" t="n">
        <v>3</v>
      </c>
      <c r="D6" s="34" t="inlineStr">
        <is>
          <t>Propuesta mía. Cuentan tecnologías de cualquier rama, vertebrales u opcionales.</t>
        </is>
      </c>
    </row>
    <row r="7" ht="23.25" customHeight="1" s="27">
      <c r="B7" s="32" t="inlineStr">
        <is>
          <t>Mín. de tecnologías de nivel 2 para investigar una de nivel 3</t>
        </is>
      </c>
      <c r="C7" s="33" t="n">
        <v>5</v>
      </c>
      <c r="D7" s="34" t="inlineStr">
        <is>
          <t>Propuesta mía.</t>
        </is>
      </c>
    </row>
    <row r="8" ht="23.25" customHeight="1" s="27">
      <c r="B8" s="32" t="inlineStr">
        <is>
          <t>Mín. de tecnologías de nivel 3 para investigar una de nivel 4</t>
        </is>
      </c>
      <c r="C8" s="33" t="n">
        <v>6</v>
      </c>
      <c r="D8" s="34" t="inlineStr">
        <is>
          <t>Propuesta mía.</t>
        </is>
      </c>
    </row>
    <row r="9" ht="23.25" customHeight="1" s="27">
      <c r="B9" s="32" t="inlineStr">
        <is>
          <t>Mín. de tecnologías de nivel 4 para investigar una de nivel 5</t>
        </is>
      </c>
      <c r="C9" s="33" t="n">
        <v>6</v>
      </c>
      <c r="D9" s="34" t="inlineStr">
        <is>
          <t>Propuesta mía.</t>
        </is>
      </c>
    </row>
    <row r="11" ht="15" customHeight="1" s="27">
      <c r="B11" s="30" t="inlineStr">
        <is>
          <t>Cómo funciona el árbol</t>
        </is>
      </c>
      <c r="C11" s="31" t="n"/>
      <c r="D11" s="31" t="n"/>
    </row>
    <row r="12" ht="31.5" customHeight="1" s="27">
      <c r="B12" s="32" t="inlineStr">
        <is>
          <t>Hay 12 ramas. Cada rama tiene una COLUMNA VERTEBRAL (de 6 a 7 tecnologías, con al menos una por nivel y una sola de nivel 5) y tecnologías OPCIONALES (especializaciones y extras).</t>
        </is>
      </c>
    </row>
    <row r="13" ht="31.5" customHeight="1" s="27">
      <c r="B13" s="32" t="inlineStr">
        <is>
          <t>Para investigar cualquier tecnología de nivel 5 de una rama hay que haber completado antes la columna vertebral de esa rama hasta el nivel 4. Las opcionales no cuentan para completar la columna.</t>
        </is>
      </c>
    </row>
    <row r="14" ht="31.5" customHeight="1" s="27">
      <c r="B14" s="32" t="inlineStr">
        <is>
          <t>Además, para investigar una tecnología de nivel n hace falta el mínimo de tecnologías del nivel n−1 indicado arriba (de cualquier rama), y todos sus prerrequisitos directos (máximo 2, de nivel menor).</t>
        </is>
      </c>
    </row>
    <row r="15" ht="31.5" customHeight="1" s="27">
      <c r="B15" s="32" t="inlineStr">
        <is>
          <t>Un edificio se desbloquea con su tecnología de nivel 1. Las de niveles 2 a 5 lo mejoran o lo especializan ('Esp.'). Las tecnologías de zona desbloquean los niveles 2 y 3 de las zonas especializadas (nivel 2 con tecnología de nivel 2; nivel 3 con la de nivel 4).</t>
        </is>
      </c>
    </row>
    <row r="16" ht="31.5" customHeight="1" s="27">
      <c r="B16" s="32" t="inlineStr">
        <is>
          <t>Tipo = Civil, Construcción o Militar. Cuartel, Fortificación y las máquinas de asedio se marcan como Militar; los demás edificios, como Construcción.</t>
        </is>
      </c>
    </row>
    <row r="18" ht="15" customHeight="1" s="27">
      <c r="B18" s="30" t="inlineStr">
        <is>
          <t>Victoria tecnológica (5 tecnologías de nivel 5)</t>
        </is>
      </c>
      <c r="C18" s="31" t="n"/>
      <c r="D18" s="31" t="n"/>
    </row>
    <row r="19" ht="30" customHeight="1" s="27">
      <c r="B19" s="32" t="inlineStr">
        <is>
          <t>Con 5 tecnologías de nivel 5 de RAMAS DISTINTAS: camino más barato</t>
        </is>
      </c>
      <c r="C19" s="35" t="n">
        <v>1700</v>
      </c>
      <c r="D19" s="34" t="inlineStr">
        <is>
          <t>Calculado por script con los mínimos 3 / 5 / 6 / 6 y con los 9 edificios básicos ya desarrollados (36 tecnologías contando esas 9). Entre las combinaciones de 5 ramas, el costo va de 1700 a 2040.</t>
        </is>
      </c>
    </row>
    <row r="20" ht="30" customHeight="1" s="27">
      <c r="B20" s="32" t="inlineStr">
        <is>
          <t>Si bastara con CUALQUIER 5 de nivel 5 (aunque sean de la misma rama)</t>
        </is>
      </c>
      <c r="C20" s="35" t="n">
        <v>1500</v>
      </c>
      <c r="D20" s="34" t="inlineStr">
        <is>
          <t>Estimación: se lograría con solo 2 ramas (Logística y Armas y unidades), por eso recomiendo exigir ramas distintas.</t>
        </is>
      </c>
    </row>
    <row r="21" ht="30" customHeight="1" s="27">
      <c r="B21" s="32" t="inlineStr">
        <is>
          <t>Costo de completar una sola columna vertebral (promedio)</t>
        </is>
      </c>
      <c r="C21" s="35" t="n">
        <v>363</v>
      </c>
      <c r="D21" s="34" t="inlineStr">
        <is>
          <t>Entre 280 y 440 según la rama, descontando las tecnologías iniciales (ver hoja 'Ramas').</t>
        </is>
      </c>
    </row>
    <row r="23" ht="15" customHeight="1" s="27">
      <c r="B23" s="30" t="inlineStr">
        <is>
          <t>Columnas de la hoja 'Tecnologías'</t>
        </is>
      </c>
      <c r="C23" s="31" t="n"/>
      <c r="D23" s="31" t="n"/>
    </row>
    <row r="24" ht="31.5" customHeight="1" s="27">
      <c r="B24" s="36" t="inlineStr">
        <is>
          <t>Columna</t>
        </is>
      </c>
      <c r="C24" s="32" t="inlineStr">
        <is>
          <t>Vertebral = obligatoria para completar la rama y poder llegar al nivel 5. Opcional = especialización o extra que no cuenta para completarla.</t>
        </is>
      </c>
    </row>
    <row r="25" ht="31.5" customHeight="1" s="27">
      <c r="B25" s="36" t="inlineStr">
        <is>
          <t>Valoración (1–5)</t>
        </is>
      </c>
      <c r="C25" s="32" t="inlineStr">
        <is>
          <t>5 = muy buena (clara, divertida y bien balanceada); 4 = buena; 3 = aceptable o situacional; 2 = débil, redundante o arriesgada; 1 = problemática. Es mi opinión, para discutir.</t>
        </is>
      </c>
    </row>
    <row r="26" ht="31.5" customHeight="1" s="27">
      <c r="B26" s="36" t="inlineStr">
        <is>
          <t>Riesgo de balance</t>
        </is>
      </c>
      <c r="C26" s="32" t="inlineStr">
        <is>
          <t>Bajo / Medio / Alto: qué tan probable es que desbalancee el juego. Se mide con el simulador, no a ojo.</t>
        </is>
      </c>
    </row>
    <row r="27" ht="31.5" customHeight="1" s="27">
      <c r="B27" s="36" t="inlineStr">
        <is>
          <t>Origen</t>
        </is>
      </c>
      <c r="C27" s="32" t="inlineStr">
        <is>
          <t>'Tuya' = viene de tu lista (36 tecnologías, con tus efectos). 'Mía' = propuesta nueva.</t>
        </is>
      </c>
    </row>
    <row r="28" ht="31.5" customHeight="1" s="27">
      <c r="B28" s="36" t="inlineStr">
        <is>
          <t>Subrama</t>
        </is>
      </c>
      <c r="C28" s="32" t="inlineStr">
        <is>
          <t>La agrupación temática anterior (30 grupos), útil para filtrar por tema. La Rama (12) es la que cuenta para el árbol.</t>
        </is>
      </c>
    </row>
    <row r="29" ht="31.5" customHeight="1" s="27">
      <c r="B29" s="36" t="inlineStr">
        <is>
          <t>Esp.</t>
        </is>
      </c>
      <c r="C29" s="32" t="inlineStr">
        <is>
          <t>Especialización de un edificio: variante que eliges para ese edificio, distinta de la mejora general.</t>
        </is>
      </c>
    </row>
    <row r="31" ht="15" customHeight="1" s="27">
      <c r="B31" s="30" t="inlineStr">
        <is>
          <t>Cambios respecto a la versión anterior</t>
        </is>
      </c>
      <c r="C31" s="31" t="n"/>
      <c r="D31" s="31" t="n"/>
    </row>
    <row r="32" ht="30" customHeight="1" s="27">
      <c r="B32" s="32" t="inlineStr">
        <is>
          <t>• Los 9 edificios básicos (Almacenes, Caminos, Hospitales, Cuarteles, Fortificaciones, Bibliotecas, Molinos, Talleres y Mercados) vienen ya desarrollados al inicio (columna Inicial = Sí, costo 0). Cuentan para los mínimos del nivel 1.</t>
        </is>
      </c>
    </row>
    <row r="33" ht="30" customHeight="1" s="27">
      <c r="B33" s="32" t="inlineStr">
        <is>
          <t>• La investigación ya no es instantánea: cada tecnología avanza cada paso hasta la capacidad de los científicos asignados a investigar (2 de ciencia por científico, más el bono de la zona de tecnología). Un científico genera 2 de ciencia o usa 2 para investigar, no ambas cosas.</t>
        </is>
      </c>
    </row>
    <row r="34" ht="30" customHeight="1" s="27">
      <c r="B34" s="32" t="inlineStr">
        <is>
          <t>• Se eliminó 'Pacificación' (contradecía el sistema de capturas) y se reemplazaron 'Asedio' y 'Catapultas' por 6 tecnologías de máquinas de asedio (arietes y lanzapiedras, con 3 niveles cada una).</t>
        </is>
      </c>
    </row>
    <row r="35" ht="30" customHeight="1" s="27">
      <c r="B35" s="32" t="inlineStr">
        <is>
          <t>• 'Gremio mercantil' pasó a llamarse 'Gran compañía' para no confundirse con 'Gremios mercantiles' (zona comercial nivel 3).</t>
        </is>
      </c>
    </row>
    <row r="36" ht="30" customHeight="1" s="27">
      <c r="B36" s="32" t="inlineStr">
        <is>
          <t>• Varios prerrequisitos de las tecnologías vertebrales se cambiaron para que cada columna dependa solo de sí misma.</t>
        </is>
      </c>
    </row>
    <row r="38" ht="15" customHeight="1" s="27">
      <c r="B38" s="30" t="inlineStr">
        <is>
          <t>Supuestos y dudas abiertas</t>
        </is>
      </c>
      <c r="C38" s="31" t="n"/>
      <c r="D38" s="31" t="n"/>
    </row>
    <row r="39" ht="30" customHeight="1" s="27">
      <c r="B39" s="32" t="inlineStr">
        <is>
          <t>• Los bonos de 'Esp.' de Almacén por nivel (+10, +20, +30, +100) se asumen NO acumulables: cada uno reemplaza al anterior.</t>
        </is>
      </c>
    </row>
    <row r="40" ht="30" customHeight="1" s="27">
      <c r="B40" s="32" t="inlineStr">
        <is>
          <t>• Se asume que un mismo edificio tiene una sola especialización a la vez.</t>
        </is>
      </c>
    </row>
    <row r="41" ht="30" customHeight="1" s="27">
      <c r="B41" s="32" t="inlineStr">
        <is>
          <t>• 'Camino militar I' dice +1 de iniciativa. Como el número menor actúa primero, ¿es más lento o más rápido? Se propone −1 (más rápido).</t>
        </is>
      </c>
    </row>
    <row r="42" ht="30" customHeight="1" s="27">
      <c r="B42" s="32" t="inlineStr">
        <is>
          <t>• Hospital imperial (+2 de vida a todos) es una tecnología tuya y es el nivel 5 de la columna de Sanidad: obliga a quien quiera esa rama a tomarla. Está marcada con riesgo alto.</t>
        </is>
      </c>
    </row>
    <row r="43" ht="30" customHeight="1" s="27">
      <c r="B43" s="32" t="inlineStr">
        <is>
          <t>• Varias tecnologías usan mecánicas aún no definidas: zonas riesgosas, vender recursos (Exportaciones), mercenarios, rendiciones por intimidación. Decidir si se quieren.</t>
        </is>
      </c>
    </row>
    <row r="44" ht="30" customHeight="1" s="27">
      <c r="B44" s="32" t="inlineStr">
        <is>
          <t>• El mínimo de tecnologías del nivel anterior cuenta tecnologías de cualquier rama. Se puede exigir que sean del mismo tipo.</t>
        </is>
      </c>
    </row>
  </sheetData>
  <mergeCells count="22">
    <mergeCell ref="B42:D42"/>
    <mergeCell ref="B14:D14"/>
    <mergeCell ref="C24:D24"/>
    <mergeCell ref="B13:D13"/>
    <mergeCell ref="B44:D44"/>
    <mergeCell ref="C26:D26"/>
    <mergeCell ref="B34:D34"/>
    <mergeCell ref="C29:D29"/>
    <mergeCell ref="C25:D25"/>
    <mergeCell ref="B40:D40"/>
    <mergeCell ref="B15:D15"/>
    <mergeCell ref="B33:D33"/>
    <mergeCell ref="B36:D36"/>
    <mergeCell ref="B41:D41"/>
    <mergeCell ref="C27:D27"/>
    <mergeCell ref="B32:D32"/>
    <mergeCell ref="B35:D35"/>
    <mergeCell ref="B16:D16"/>
    <mergeCell ref="C28:D28"/>
    <mergeCell ref="B43:D43"/>
    <mergeCell ref="B12:D12"/>
    <mergeCell ref="B39:D3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Q20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7" customWidth="1" style="26" min="1" max="1"/>
    <col width="26" customWidth="1" style="26" min="2" max="2"/>
    <col width="7" customWidth="1" style="26" min="3" max="3"/>
    <col width="8" customWidth="1" style="26" min="4" max="4"/>
    <col width="13" customWidth="1" style="26" min="5" max="5"/>
    <col width="22" customWidth="1" style="26" min="6" max="6"/>
    <col width="11" customWidth="1" style="26" min="7" max="7"/>
    <col width="17" customWidth="1" style="26" min="8" max="8"/>
    <col width="22" customWidth="1" style="26" min="9" max="9"/>
    <col width="56" customWidth="1" style="26" min="10" max="10"/>
    <col width="36" customWidth="1" style="26" min="11" max="11"/>
    <col width="11" customWidth="1" style="26" min="12" max="12"/>
    <col width="8" customWidth="1" style="26" min="13" max="13"/>
    <col width="11" customWidth="1" style="26" min="14" max="14"/>
    <col width="10" customWidth="1" style="26" min="15" max="15"/>
    <col width="68" customWidth="1" style="26" min="16" max="16"/>
    <col width="9" customWidth="1" style="26" min="17" max="17"/>
  </cols>
  <sheetData>
    <row r="1" ht="31.5" customHeight="1" s="27">
      <c r="A1" s="37" t="inlineStr">
        <is>
          <t>ID</t>
        </is>
      </c>
      <c r="B1" s="37" t="inlineStr">
        <is>
          <t>Nombre</t>
        </is>
      </c>
      <c r="C1" s="37" t="inlineStr">
        <is>
          <t>Nivel</t>
        </is>
      </c>
      <c r="D1" s="37" t="inlineStr">
        <is>
          <t>Costo</t>
        </is>
      </c>
      <c r="E1" s="37" t="inlineStr">
        <is>
          <t>Tipo</t>
        </is>
      </c>
      <c r="F1" s="37" t="inlineStr">
        <is>
          <t>Rama</t>
        </is>
      </c>
      <c r="G1" s="37" t="inlineStr">
        <is>
          <t>Columna</t>
        </is>
      </c>
      <c r="H1" s="37" t="inlineStr">
        <is>
          <t>Subrama</t>
        </is>
      </c>
      <c r="I1" s="37" t="inlineStr">
        <is>
          <t>Categoría de efecto</t>
        </is>
      </c>
      <c r="J1" s="37" t="inlineStr">
        <is>
          <t>Efecto</t>
        </is>
      </c>
      <c r="K1" s="37" t="inlineStr">
        <is>
          <t>Prerrequisitos directos</t>
        </is>
      </c>
      <c r="L1" s="37" t="inlineStr">
        <is>
          <t>Mín. del nivel anterior</t>
        </is>
      </c>
      <c r="M1" s="37" t="inlineStr">
        <is>
          <t>Origen</t>
        </is>
      </c>
      <c r="N1" s="37" t="inlineStr">
        <is>
          <t>Valoración (1–5)</t>
        </is>
      </c>
      <c r="O1" s="37" t="inlineStr">
        <is>
          <t>Riesgo de balance</t>
        </is>
      </c>
      <c r="P1" s="37" t="inlineStr">
        <is>
          <t>Comentario</t>
        </is>
      </c>
      <c r="Q1" s="37" t="inlineStr">
        <is>
          <t>Inicial</t>
        </is>
      </c>
    </row>
    <row r="2" ht="15" customHeight="1" s="27">
      <c r="A2" s="38" t="inlineStr">
        <is>
          <t>T001</t>
        </is>
      </c>
      <c r="B2" s="39" t="inlineStr">
        <is>
          <t>Arado</t>
        </is>
      </c>
      <c r="C2" s="38" t="n">
        <v>1</v>
      </c>
      <c r="D2" s="38">
        <f>IF(Q2="Sí",0,C2*Reglas!$C$5)</f>
        <v/>
      </c>
      <c r="E2" s="40" t="inlineStr">
        <is>
          <t>Civil</t>
        </is>
      </c>
      <c r="F2" s="40" t="inlineStr">
        <is>
          <t>Agricultura</t>
        </is>
      </c>
      <c r="G2" s="38" t="inlineStr">
        <is>
          <t>Vertebral</t>
        </is>
      </c>
      <c r="H2" s="40" t="inlineStr">
        <is>
          <t>Agricultura</t>
        </is>
      </c>
      <c r="I2" s="40" t="inlineStr">
        <is>
          <t>Comida</t>
        </is>
      </c>
      <c r="J2" s="40" t="inlineStr">
        <is>
          <t>+1 de comida por agricultor.</t>
        </is>
      </c>
      <c r="K2" s="40" t="inlineStr">
        <is>
          <t>—</t>
        </is>
      </c>
      <c r="L2" s="41">
        <f>IF(C2=1,0,CHOOSE(C2-1,Reglas!$C$6,Reglas!$C$7,Reglas!$C$8,Reglas!$C$9))</f>
        <v/>
      </c>
      <c r="M2" s="41" t="inlineStr">
        <is>
          <t>Mía</t>
        </is>
      </c>
      <c r="N2" s="41" t="n">
        <v>5</v>
      </c>
      <c r="O2" s="41" t="inlineStr">
        <is>
          <t>Bajo</t>
        </is>
      </c>
      <c r="P2" s="40" t="inlineStr">
        <is>
          <t>Mejora clara y barata; sin ella, la agricultura se queda atrás.</t>
        </is>
      </c>
      <c r="Q2" s="41" t="n"/>
    </row>
    <row r="3" ht="15" customHeight="1" s="27">
      <c r="A3" s="38" t="inlineStr">
        <is>
          <t>T002</t>
        </is>
      </c>
      <c r="B3" s="39" t="inlineStr">
        <is>
          <t>Riego</t>
        </is>
      </c>
      <c r="C3" s="38" t="n">
        <v>2</v>
      </c>
      <c r="D3" s="38">
        <f>IF(Q3="Sí",0,C3*Reglas!$C$5)</f>
        <v/>
      </c>
      <c r="E3" s="40" t="inlineStr">
        <is>
          <t>Civil</t>
        </is>
      </c>
      <c r="F3" s="40" t="inlineStr">
        <is>
          <t>Agricultura</t>
        </is>
      </c>
      <c r="G3" s="38" t="inlineStr">
        <is>
          <t>Vertebral</t>
        </is>
      </c>
      <c r="H3" s="40" t="inlineStr">
        <is>
          <t>Zonas</t>
        </is>
      </c>
      <c r="I3" s="40" t="inlineStr">
        <is>
          <t>Zona especializada</t>
        </is>
      </c>
      <c r="J3" s="40" t="inlineStr">
        <is>
          <t>Desbloquea la zona de agricultura nivel 2 (+8 de comida de zona).</t>
        </is>
      </c>
      <c r="K3" s="40" t="inlineStr">
        <is>
          <t>Arado (T001)</t>
        </is>
      </c>
      <c r="L3" s="41">
        <f>IF(C3=1,0,CHOOSE(C3-1,Reglas!$C$6,Reglas!$C$7,Reglas!$C$8,Reglas!$C$9))</f>
        <v/>
      </c>
      <c r="M3" s="41" t="inlineStr">
        <is>
          <t>Mía</t>
        </is>
      </c>
      <c r="N3" s="41" t="n">
        <v>4</v>
      </c>
      <c r="O3" s="41" t="inlineStr">
        <is>
          <t>Bajo</t>
        </is>
      </c>
      <c r="P3" s="40" t="inlineStr">
        <is>
          <t>Pasar del nivel 1 al 2 vale +4 de comida por 40 de tecnología: rentable pronto.</t>
        </is>
      </c>
      <c r="Q3" s="41" t="n"/>
    </row>
    <row r="4" ht="15" customHeight="1" s="27">
      <c r="A4" s="38" t="inlineStr">
        <is>
          <t>T003</t>
        </is>
      </c>
      <c r="B4" s="39" t="inlineStr">
        <is>
          <t>Huertos familiares</t>
        </is>
      </c>
      <c r="C4" s="38" t="n">
        <v>2</v>
      </c>
      <c r="D4" s="38">
        <f>IF(Q4="Sí",0,C4*Reglas!$C$5)</f>
        <v/>
      </c>
      <c r="E4" s="40" t="inlineStr">
        <is>
          <t>Civil</t>
        </is>
      </c>
      <c r="F4" s="40" t="inlineStr">
        <is>
          <t>Agricultura</t>
        </is>
      </c>
      <c r="G4" s="38" t="inlineStr">
        <is>
          <t>Vertebral</t>
        </is>
      </c>
      <c r="H4" s="40" t="inlineStr">
        <is>
          <t>Agricultura</t>
        </is>
      </c>
      <c r="I4" s="40" t="inlineStr">
        <is>
          <t>Comida</t>
        </is>
      </c>
      <c r="J4" s="40" t="inlineStr">
        <is>
          <t>+1 de comida por poblador normal.</t>
        </is>
      </c>
      <c r="K4" s="40" t="inlineStr">
        <is>
          <t>Arado (T001)</t>
        </is>
      </c>
      <c r="L4" s="41">
        <f>IF(C4=1,0,CHOOSE(C4-1,Reglas!$C$6,Reglas!$C$7,Reglas!$C$8,Reglas!$C$9))</f>
        <v/>
      </c>
      <c r="M4" s="41" t="inlineStr">
        <is>
          <t>Mía</t>
        </is>
      </c>
      <c r="N4" s="41" t="n">
        <v>4</v>
      </c>
      <c r="O4" s="41" t="inlineStr">
        <is>
          <t>Bajo</t>
        </is>
      </c>
      <c r="P4" s="40" t="inlineStr">
        <is>
          <t>Beneficia a las zonas básicas, que son las más comunes al inicio.</t>
        </is>
      </c>
      <c r="Q4" s="41" t="n"/>
    </row>
    <row r="5" ht="15" customHeight="1" s="27">
      <c r="A5" s="38" t="inlineStr">
        <is>
          <t>T004</t>
        </is>
      </c>
      <c r="B5" s="39" t="inlineStr">
        <is>
          <t>Abonos</t>
        </is>
      </c>
      <c r="C5" s="38" t="n">
        <v>3</v>
      </c>
      <c r="D5" s="38">
        <f>IF(Q5="Sí",0,C5*Reglas!$C$5)</f>
        <v/>
      </c>
      <c r="E5" s="40" t="inlineStr">
        <is>
          <t>Civil</t>
        </is>
      </c>
      <c r="F5" s="40" t="inlineStr">
        <is>
          <t>Agricultura</t>
        </is>
      </c>
      <c r="G5" s="38" t="inlineStr">
        <is>
          <t>Vertebral</t>
        </is>
      </c>
      <c r="H5" s="40" t="inlineStr">
        <is>
          <t>Agricultura</t>
        </is>
      </c>
      <c r="I5" s="40" t="inlineStr">
        <is>
          <t>Comida</t>
        </is>
      </c>
      <c r="J5" s="40" t="inlineStr">
        <is>
          <t>+1 de comida por agricultor (se suma al Arado).</t>
        </is>
      </c>
      <c r="K5" s="40" t="inlineStr">
        <is>
          <t>Arado (T001); Huertos familiares (T003)</t>
        </is>
      </c>
      <c r="L5" s="41">
        <f>IF(C5=1,0,CHOOSE(C5-1,Reglas!$C$6,Reglas!$C$7,Reglas!$C$8,Reglas!$C$9))</f>
        <v/>
      </c>
      <c r="M5" s="41" t="inlineStr">
        <is>
          <t>Mía</t>
        </is>
      </c>
      <c r="N5" s="41" t="n">
        <v>4</v>
      </c>
      <c r="O5" s="41" t="inlineStr">
        <is>
          <t>Bajo</t>
        </is>
      </c>
      <c r="P5" s="40" t="inlineStr">
        <is>
          <t>Escala bien con zonas agrícolas especializadas.</t>
        </is>
      </c>
      <c r="Q5" s="41" t="n"/>
    </row>
    <row r="6" ht="15" customHeight="1" s="27">
      <c r="A6" s="38" t="inlineStr">
        <is>
          <t>T005</t>
        </is>
      </c>
      <c r="B6" s="39" t="inlineStr">
        <is>
          <t>Cosecha comunal</t>
        </is>
      </c>
      <c r="C6" s="38" t="n">
        <v>4</v>
      </c>
      <c r="D6" s="38">
        <f>IF(Q6="Sí",0,C6*Reglas!$C$5)</f>
        <v/>
      </c>
      <c r="E6" s="40" t="inlineStr">
        <is>
          <t>Civil</t>
        </is>
      </c>
      <c r="F6" s="40" t="inlineStr">
        <is>
          <t>Agricultura</t>
        </is>
      </c>
      <c r="G6" s="38" t="inlineStr">
        <is>
          <t>Vertebral</t>
        </is>
      </c>
      <c r="H6" s="40" t="inlineStr">
        <is>
          <t>Zonas</t>
        </is>
      </c>
      <c r="I6" s="40" t="inlineStr">
        <is>
          <t>Zona especializada</t>
        </is>
      </c>
      <c r="J6" s="40" t="inlineStr">
        <is>
          <t>Desbloquea la zona de agricultura nivel 3 (+12 de comida de zona).</t>
        </is>
      </c>
      <c r="K6" s="40" t="inlineStr">
        <is>
          <t>Riego (T002); Abonos (T004)</t>
        </is>
      </c>
      <c r="L6" s="41">
        <f>IF(C6=1,0,CHOOSE(C6-1,Reglas!$C$6,Reglas!$C$7,Reglas!$C$8,Reglas!$C$9))</f>
        <v/>
      </c>
      <c r="M6" s="41" t="inlineStr">
        <is>
          <t>Mía</t>
        </is>
      </c>
      <c r="N6" s="41" t="n">
        <v>4</v>
      </c>
      <c r="O6" s="41" t="inlineStr">
        <is>
          <t>Bajo</t>
        </is>
      </c>
      <c r="P6" s="40" t="inlineStr">
        <is>
          <t>Cierra la rama de agricultura con un bono grande.</t>
        </is>
      </c>
      <c r="Q6" s="41" t="n"/>
    </row>
    <row r="7" ht="15" customHeight="1" s="27">
      <c r="A7" s="38" t="inlineStr">
        <is>
          <t>T006</t>
        </is>
      </c>
      <c r="B7" s="39" t="inlineStr">
        <is>
          <t>Granjas modelo</t>
        </is>
      </c>
      <c r="C7" s="38" t="n">
        <v>5</v>
      </c>
      <c r="D7" s="38">
        <f>IF(Q7="Sí",0,C7*Reglas!$C$5)</f>
        <v/>
      </c>
      <c r="E7" s="40" t="inlineStr">
        <is>
          <t>Civil</t>
        </is>
      </c>
      <c r="F7" s="40" t="inlineStr">
        <is>
          <t>Agricultura</t>
        </is>
      </c>
      <c r="G7" s="38" t="inlineStr">
        <is>
          <t>Vertebral</t>
        </is>
      </c>
      <c r="H7" s="40" t="inlineStr">
        <is>
          <t>Agricultura</t>
        </is>
      </c>
      <c r="I7" s="40" t="inlineStr">
        <is>
          <t>Comida</t>
        </is>
      </c>
      <c r="J7" s="40" t="inlineStr">
        <is>
          <t>Desbloquea La Huerta Infinita, la maravilla de Agricultura (única en la partida): +1 de comida por agricultor mientras controles su zona. Solo se puede investigar si nadie la ha construido.</t>
        </is>
      </c>
      <c r="K7" s="40" t="inlineStr">
        <is>
          <t>Cosecha comunal (T005)</t>
        </is>
      </c>
      <c r="L7" s="41">
        <f>IF(C7=1,0,CHOOSE(C7-1,Reglas!$C$6,Reglas!$C$7,Reglas!$C$8,Reglas!$C$9))</f>
        <v/>
      </c>
      <c r="M7" s="41" t="inlineStr">
        <is>
          <t>Mía</t>
        </is>
      </c>
      <c r="N7" s="41" t="n">
        <v>3</v>
      </c>
      <c r="O7" s="41" t="inlineStr">
        <is>
          <t>Bajo</t>
        </is>
      </c>
      <c r="P7" s="40" t="inlineStr">
        <is>
          <t>Por sí sola no da su efecto: lo da la maravilla. Si otro la termina antes, pierdes la obra y recuperas la mitad de la producción, pero conservas la tecnología (cuenta para la victoria tecnológica).</t>
        </is>
      </c>
      <c r="Q7" s="41" t="n"/>
    </row>
    <row r="8" ht="15" customHeight="1" s="27">
      <c r="A8" s="41" t="inlineStr">
        <is>
          <t>T007</t>
        </is>
      </c>
      <c r="B8" s="42" t="inlineStr">
        <is>
          <t>Molinos</t>
        </is>
      </c>
      <c r="C8" s="41" t="n">
        <v>1</v>
      </c>
      <c r="D8" s="41">
        <f>IF(Q8="Sí",0,C8*Reglas!$C$5)</f>
        <v/>
      </c>
      <c r="E8" s="40" t="inlineStr">
        <is>
          <t>Construcción</t>
        </is>
      </c>
      <c r="F8" s="40" t="inlineStr">
        <is>
          <t>Agricultura</t>
        </is>
      </c>
      <c r="G8" s="41" t="inlineStr">
        <is>
          <t>Opcional</t>
        </is>
      </c>
      <c r="H8" s="40" t="inlineStr">
        <is>
          <t>Molino</t>
        </is>
      </c>
      <c r="I8" s="40" t="inlineStr">
        <is>
          <t>Desbloqueo de edificio</t>
        </is>
      </c>
      <c r="J8" s="40" t="inlineStr">
        <is>
          <t>Permite construir el Molino: +1 de comida por trabajador.</t>
        </is>
      </c>
      <c r="K8" s="40" t="inlineStr">
        <is>
          <t>—</t>
        </is>
      </c>
      <c r="L8" s="41">
        <f>IF(C8=1,0,CHOOSE(C8-1,Reglas!$C$6,Reglas!$C$7,Reglas!$C$8,Reglas!$C$9))</f>
        <v/>
      </c>
      <c r="M8" s="41" t="inlineStr">
        <is>
          <t>Tuya</t>
        </is>
      </c>
      <c r="N8" s="41" t="n">
        <v>5</v>
      </c>
      <c r="O8" s="41" t="inlineStr">
        <is>
          <t>Bajo</t>
        </is>
      </c>
      <c r="P8" s="40" t="inlineStr">
        <is>
          <t>Mejora directa de la comida. Barata de entender y rentable pronto.</t>
        </is>
      </c>
      <c r="Q8" s="41" t="inlineStr">
        <is>
          <t>Sí</t>
        </is>
      </c>
    </row>
    <row r="9" ht="15" customHeight="1" s="27">
      <c r="A9" s="41" t="inlineStr">
        <is>
          <t>T008</t>
        </is>
      </c>
      <c r="B9" s="42" t="inlineStr">
        <is>
          <t>Molino de piedra</t>
        </is>
      </c>
      <c r="C9" s="41" t="n">
        <v>2</v>
      </c>
      <c r="D9" s="41">
        <f>IF(Q9="Sí",0,C9*Reglas!$C$5)</f>
        <v/>
      </c>
      <c r="E9" s="40" t="inlineStr">
        <is>
          <t>Construcción</t>
        </is>
      </c>
      <c r="F9" s="40" t="inlineStr">
        <is>
          <t>Agricultura</t>
        </is>
      </c>
      <c r="G9" s="41" t="inlineStr">
        <is>
          <t>Opcional</t>
        </is>
      </c>
      <c r="H9" s="40" t="inlineStr">
        <is>
          <t>Molino</t>
        </is>
      </c>
      <c r="I9" s="40" t="inlineStr">
        <is>
          <t>Mejora de edificio</t>
        </is>
      </c>
      <c r="J9" s="40" t="inlineStr">
        <is>
          <t>El Molino da +2 de comida por trabajador (reemplaza al +1).</t>
        </is>
      </c>
      <c r="K9" s="40" t="inlineStr">
        <is>
          <t>Molinos (T007)</t>
        </is>
      </c>
      <c r="L9" s="41">
        <f>IF(C9=1,0,CHOOSE(C9-1,Reglas!$C$6,Reglas!$C$7,Reglas!$C$8,Reglas!$C$9))</f>
        <v/>
      </c>
      <c r="M9" s="41" t="inlineStr">
        <is>
          <t>Mía</t>
        </is>
      </c>
      <c r="N9" s="41" t="n">
        <v>4</v>
      </c>
      <c r="O9" s="41" t="inlineStr">
        <is>
          <t>Bajo</t>
        </is>
      </c>
      <c r="P9" s="40" t="inlineStr">
        <is>
          <t>Escala bien con el número de trabajadores (Andamios, Grúas).</t>
        </is>
      </c>
      <c r="Q9" s="41" t="n"/>
    </row>
    <row r="10" ht="15" customHeight="1" s="27">
      <c r="A10" s="41" t="inlineStr">
        <is>
          <t>T009</t>
        </is>
      </c>
      <c r="B10" s="42" t="inlineStr">
        <is>
          <t>Despensas</t>
        </is>
      </c>
      <c r="C10" s="41" t="n">
        <v>2</v>
      </c>
      <c r="D10" s="41">
        <f>IF(Q10="Sí",0,C10*Reglas!$C$5)</f>
        <v/>
      </c>
      <c r="E10" s="40" t="inlineStr">
        <is>
          <t>Civil</t>
        </is>
      </c>
      <c r="F10" s="40" t="inlineStr">
        <is>
          <t>Agricultura</t>
        </is>
      </c>
      <c r="G10" s="41" t="inlineStr">
        <is>
          <t>Opcional</t>
        </is>
      </c>
      <c r="H10" s="40" t="inlineStr">
        <is>
          <t>Agricultura</t>
        </is>
      </c>
      <c r="I10" s="40" t="inlineStr">
        <is>
          <t>Comida</t>
        </is>
      </c>
      <c r="J10" s="40" t="inlineStr">
        <is>
          <t>La muerte por hambre llega a las 3 rondas en vez de 2.</t>
        </is>
      </c>
      <c r="K10" s="40" t="inlineStr">
        <is>
          <t>Arado (T001)</t>
        </is>
      </c>
      <c r="L10" s="41">
        <f>IF(C10=1,0,CHOOSE(C10-1,Reglas!$C$6,Reglas!$C$7,Reglas!$C$8,Reglas!$C$9))</f>
        <v/>
      </c>
      <c r="M10" s="41" t="inlineStr">
        <is>
          <t>Mía</t>
        </is>
      </c>
      <c r="N10" s="41" t="n">
        <v>3</v>
      </c>
      <c r="O10" s="41" t="inlineStr">
        <is>
          <t>Bajo</t>
        </is>
      </c>
      <c r="P10" s="40" t="inlineStr">
        <is>
          <t>Suaviza un castigo duro. Útil para quien se expande rápido y arriesga.</t>
        </is>
      </c>
      <c r="Q10" s="41" t="n"/>
    </row>
    <row r="11" ht="23.25" customHeight="1" s="27">
      <c r="A11" s="41" t="inlineStr">
        <is>
          <t>T010</t>
        </is>
      </c>
      <c r="B11" s="42" t="inlineStr">
        <is>
          <t>Pastoreo</t>
        </is>
      </c>
      <c r="C11" s="41" t="n">
        <v>2</v>
      </c>
      <c r="D11" s="41">
        <f>IF(Q11="Sí",0,C11*Reglas!$C$5)</f>
        <v/>
      </c>
      <c r="E11" s="40" t="inlineStr">
        <is>
          <t>Civil</t>
        </is>
      </c>
      <c r="F11" s="40" t="inlineStr">
        <is>
          <t>Agricultura</t>
        </is>
      </c>
      <c r="G11" s="41" t="inlineStr">
        <is>
          <t>Opcional</t>
        </is>
      </c>
      <c r="H11" s="40" t="inlineStr">
        <is>
          <t>Terreno y eventos</t>
        </is>
      </c>
      <c r="I11" s="40" t="inlineStr">
        <is>
          <t>Terreno</t>
        </is>
      </c>
      <c r="J11" s="40" t="inlineStr">
        <is>
          <t>En Praderas, agricultores y pobladores producen +1 de comida adicional.</t>
        </is>
      </c>
      <c r="K11" s="40" t="inlineStr">
        <is>
          <t>Arado (T001)</t>
        </is>
      </c>
      <c r="L11" s="41">
        <f>IF(C11=1,0,CHOOSE(C11-1,Reglas!$C$6,Reglas!$C$7,Reglas!$C$8,Reglas!$C$9))</f>
        <v/>
      </c>
      <c r="M11" s="41" t="inlineStr">
        <is>
          <t>Mía</t>
        </is>
      </c>
      <c r="N11" s="41" t="n">
        <v>3</v>
      </c>
      <c r="O11" s="41" t="inlineStr">
        <is>
          <t>Medio</t>
        </is>
      </c>
      <c r="P11" s="40" t="inlineStr">
        <is>
          <t>Sumada al bono natural de las Praderas, agricultores y pobladores rinden +2 de comida extra. Mismo riesgo: premia al que parte con Praderas.</t>
        </is>
      </c>
      <c r="Q11" s="41" t="n"/>
    </row>
    <row r="12" ht="23.25" customHeight="1" s="27">
      <c r="A12" s="41" t="inlineStr">
        <is>
          <t>T011</t>
        </is>
      </c>
      <c r="B12" s="42" t="inlineStr">
        <is>
          <t>Molino-granero</t>
        </is>
      </c>
      <c r="C12" s="41" t="n">
        <v>3</v>
      </c>
      <c r="D12" s="41">
        <f>IF(Q12="Sí",0,C12*Reglas!$C$5)</f>
        <v/>
      </c>
      <c r="E12" s="40" t="inlineStr">
        <is>
          <t>Construcción</t>
        </is>
      </c>
      <c r="F12" s="40" t="inlineStr">
        <is>
          <t>Agricultura</t>
        </is>
      </c>
      <c r="G12" s="41" t="inlineStr">
        <is>
          <t>Opcional</t>
        </is>
      </c>
      <c r="H12" s="40" t="inlineStr">
        <is>
          <t>Molino</t>
        </is>
      </c>
      <c r="I12" s="40" t="inlineStr">
        <is>
          <t>Especialización de edificio</t>
        </is>
      </c>
      <c r="J12" s="40" t="inlineStr">
        <is>
          <t>Esp.: además, el Molino da +1 de comida por cada 10 de comida almacenada en la zona (máximo +3).</t>
        </is>
      </c>
      <c r="K12" s="40" t="inlineStr">
        <is>
          <t>Molino de piedra (T008); Almacenes (T073)</t>
        </is>
      </c>
      <c r="L12" s="41">
        <f>IF(C12=1,0,CHOOSE(C12-1,Reglas!$C$6,Reglas!$C$7,Reglas!$C$8,Reglas!$C$9))</f>
        <v/>
      </c>
      <c r="M12" s="41" t="inlineStr">
        <is>
          <t>Mía</t>
        </is>
      </c>
      <c r="N12" s="41" t="n">
        <v>3</v>
      </c>
      <c r="O12" s="41" t="inlineStr">
        <is>
          <t>Bajo</t>
        </is>
      </c>
      <c r="P12" s="40" t="inlineStr">
        <is>
          <t>Une Molino y Almacén. Solo rinde si ahorras comida, lo que choca con crecer.</t>
        </is>
      </c>
      <c r="Q12" s="41" t="n"/>
    </row>
    <row r="13" ht="15" customHeight="1" s="27">
      <c r="A13" s="41" t="inlineStr">
        <is>
          <t>T012</t>
        </is>
      </c>
      <c r="B13" s="42" t="inlineStr">
        <is>
          <t>Ganadería</t>
        </is>
      </c>
      <c r="C13" s="41" t="n">
        <v>3</v>
      </c>
      <c r="D13" s="41">
        <f>IF(Q13="Sí",0,C13*Reglas!$C$5)</f>
        <v/>
      </c>
      <c r="E13" s="40" t="inlineStr">
        <is>
          <t>Civil</t>
        </is>
      </c>
      <c r="F13" s="40" t="inlineStr">
        <is>
          <t>Agricultura</t>
        </is>
      </c>
      <c r="G13" s="41" t="inlineStr">
        <is>
          <t>Opcional</t>
        </is>
      </c>
      <c r="H13" s="40" t="inlineStr">
        <is>
          <t>Agricultura</t>
        </is>
      </c>
      <c r="I13" s="40" t="inlineStr">
        <is>
          <t>Comida</t>
        </is>
      </c>
      <c r="J13" s="40" t="inlineStr">
        <is>
          <t>Cada zona de agricultura gana +2 de comida por nivel de zona.</t>
        </is>
      </c>
      <c r="K13" s="40" t="inlineStr">
        <is>
          <t>Huertos familiares (T003)</t>
        </is>
      </c>
      <c r="L13" s="41">
        <f>IF(C13=1,0,CHOOSE(C13-1,Reglas!$C$6,Reglas!$C$7,Reglas!$C$8,Reglas!$C$9))</f>
        <v/>
      </c>
      <c r="M13" s="41" t="inlineStr">
        <is>
          <t>Mía</t>
        </is>
      </c>
      <c r="N13" s="41" t="n">
        <v>3</v>
      </c>
      <c r="O13" s="41" t="inlineStr">
        <is>
          <t>Medio</t>
        </is>
      </c>
      <c r="P13" s="40" t="inlineStr">
        <is>
          <t>Premia la especialización, pero 6 de comida extra en nivel 3 pesa mucho.</t>
        </is>
      </c>
      <c r="Q13" s="41" t="n"/>
    </row>
    <row r="14" ht="23.25" customHeight="1" s="27">
      <c r="A14" s="41" t="inlineStr">
        <is>
          <t>T013</t>
        </is>
      </c>
      <c r="B14" s="42" t="inlineStr">
        <is>
          <t>Semillas resistentes</t>
        </is>
      </c>
      <c r="C14" s="41" t="n">
        <v>3</v>
      </c>
      <c r="D14" s="41">
        <f>IF(Q14="Sí",0,C14*Reglas!$C$5)</f>
        <v/>
      </c>
      <c r="E14" s="40" t="inlineStr">
        <is>
          <t>Civil</t>
        </is>
      </c>
      <c r="F14" s="40" t="inlineStr">
        <is>
          <t>Agricultura</t>
        </is>
      </c>
      <c r="G14" s="41" t="inlineStr">
        <is>
          <t>Opcional</t>
        </is>
      </c>
      <c r="H14" s="40" t="inlineStr">
        <is>
          <t>Agricultura</t>
        </is>
      </c>
      <c r="I14" s="40" t="inlineStr">
        <is>
          <t>Comida</t>
        </is>
      </c>
      <c r="J14" s="40" t="inlineStr">
        <is>
          <t>Los eventos negativos que reducen la comida afectan un 50% menos.</t>
        </is>
      </c>
      <c r="K14" s="40" t="inlineStr">
        <is>
          <t>Arado (T001)</t>
        </is>
      </c>
      <c r="L14" s="41">
        <f>IF(C14=1,0,CHOOSE(C14-1,Reglas!$C$6,Reglas!$C$7,Reglas!$C$8,Reglas!$C$9))</f>
        <v/>
      </c>
      <c r="M14" s="41" t="inlineStr">
        <is>
          <t>Mía</t>
        </is>
      </c>
      <c r="N14" s="41" t="n">
        <v>3</v>
      </c>
      <c r="O14" s="41" t="inlineStr">
        <is>
          <t>Bajo</t>
        </is>
      </c>
      <c r="P14" s="40" t="inlineStr">
        <is>
          <t>Buena como seguro, pero depende de qué eventos existan.</t>
        </is>
      </c>
      <c r="Q14" s="41" t="n"/>
    </row>
    <row r="15" ht="23.25" customHeight="1" s="27">
      <c r="A15" s="41" t="inlineStr">
        <is>
          <t>T014</t>
        </is>
      </c>
      <c r="B15" s="42" t="inlineStr">
        <is>
          <t>Molino hidráulico</t>
        </is>
      </c>
      <c r="C15" s="41" t="n">
        <v>4</v>
      </c>
      <c r="D15" s="41">
        <f>IF(Q15="Sí",0,C15*Reglas!$C$5)</f>
        <v/>
      </c>
      <c r="E15" s="40" t="inlineStr">
        <is>
          <t>Construcción</t>
        </is>
      </c>
      <c r="F15" s="40" t="inlineStr">
        <is>
          <t>Agricultura</t>
        </is>
      </c>
      <c r="G15" s="41" t="inlineStr">
        <is>
          <t>Opcional</t>
        </is>
      </c>
      <c r="H15" s="40" t="inlineStr">
        <is>
          <t>Molino</t>
        </is>
      </c>
      <c r="I15" s="40" t="inlineStr">
        <is>
          <t>Mejora de edificio</t>
        </is>
      </c>
      <c r="J15" s="40" t="inlineStr">
        <is>
          <t>El Molino da +3 de comida por trabajador (+1 más si la zona es de Ríos).</t>
        </is>
      </c>
      <c r="K15" s="40" t="inlineStr">
        <is>
          <t>Molino-granero (T011)</t>
        </is>
      </c>
      <c r="L15" s="41">
        <f>IF(C15=1,0,CHOOSE(C15-1,Reglas!$C$6,Reglas!$C$7,Reglas!$C$8,Reglas!$C$9))</f>
        <v/>
      </c>
      <c r="M15" s="41" t="inlineStr">
        <is>
          <t>Mía</t>
        </is>
      </c>
      <c r="N15" s="41" t="n">
        <v>4</v>
      </c>
      <c r="O15" s="41" t="inlineStr">
        <is>
          <t>Medio</t>
        </is>
      </c>
      <c r="P15" s="40" t="inlineStr">
        <is>
          <t>Buena sinergia con el terreno. Evita que los Ríos sean solo para arqueros y comercio.</t>
        </is>
      </c>
      <c r="Q15" s="41" t="n"/>
    </row>
    <row r="16" ht="15" customHeight="1" s="27">
      <c r="A16" s="41" t="inlineStr">
        <is>
          <t>T015</t>
        </is>
      </c>
      <c r="B16" s="42" t="inlineStr">
        <is>
          <t>Irrigación avanzada</t>
        </is>
      </c>
      <c r="C16" s="41" t="n">
        <v>4</v>
      </c>
      <c r="D16" s="41">
        <f>IF(Q16="Sí",0,C16*Reglas!$C$5)</f>
        <v/>
      </c>
      <c r="E16" s="40" t="inlineStr">
        <is>
          <t>Civil</t>
        </is>
      </c>
      <c r="F16" s="40" t="inlineStr">
        <is>
          <t>Agricultura</t>
        </is>
      </c>
      <c r="G16" s="41" t="inlineStr">
        <is>
          <t>Opcional</t>
        </is>
      </c>
      <c r="H16" s="40" t="inlineStr">
        <is>
          <t>Agricultura</t>
        </is>
      </c>
      <c r="I16" s="40" t="inlineStr">
        <is>
          <t>Comida</t>
        </is>
      </c>
      <c r="J16" s="40" t="inlineStr">
        <is>
          <t>+1 de comida por poblador normal (se suma a Huertos familiares).</t>
        </is>
      </c>
      <c r="K16" s="40" t="inlineStr">
        <is>
          <t>Abonos (T004)</t>
        </is>
      </c>
      <c r="L16" s="41">
        <f>IF(C16=1,0,CHOOSE(C16-1,Reglas!$C$6,Reglas!$C$7,Reglas!$C$8,Reglas!$C$9))</f>
        <v/>
      </c>
      <c r="M16" s="41" t="inlineStr">
        <is>
          <t>Mía</t>
        </is>
      </c>
      <c r="N16" s="41" t="n">
        <v>4</v>
      </c>
      <c r="O16" s="41" t="inlineStr">
        <is>
          <t>Bajo</t>
        </is>
      </c>
      <c r="P16" s="40" t="inlineStr">
        <is>
          <t>Bono continuo para zonas básicas.</t>
        </is>
      </c>
      <c r="Q16" s="41" t="n"/>
    </row>
    <row r="17" ht="23.25" customHeight="1" s="27">
      <c r="A17" s="41" t="inlineStr">
        <is>
          <t>T016</t>
        </is>
      </c>
      <c r="B17" s="42" t="inlineStr">
        <is>
          <t>Gran molino</t>
        </is>
      </c>
      <c r="C17" s="41" t="n">
        <v>5</v>
      </c>
      <c r="D17" s="41">
        <f>IF(Q17="Sí",0,C17*Reglas!$C$5)</f>
        <v/>
      </c>
      <c r="E17" s="40" t="inlineStr">
        <is>
          <t>Construcción</t>
        </is>
      </c>
      <c r="F17" s="40" t="inlineStr">
        <is>
          <t>Agricultura</t>
        </is>
      </c>
      <c r="G17" s="41" t="inlineStr">
        <is>
          <t>Opcional</t>
        </is>
      </c>
      <c r="H17" s="40" t="inlineStr">
        <is>
          <t>Molino</t>
        </is>
      </c>
      <c r="I17" s="40" t="inlineStr">
        <is>
          <t>Mejora de edificio</t>
        </is>
      </c>
      <c r="J17" s="40" t="inlineStr">
        <is>
          <t>El Molino da +5 de comida por trabajador.</t>
        </is>
      </c>
      <c r="K17" s="40" t="inlineStr">
        <is>
          <t>Molino hidráulico (T014)</t>
        </is>
      </c>
      <c r="L17" s="41">
        <f>IF(C17=1,0,CHOOSE(C17-1,Reglas!$C$6,Reglas!$C$7,Reglas!$C$8,Reglas!$C$9))</f>
        <v/>
      </c>
      <c r="M17" s="41" t="inlineStr">
        <is>
          <t>Mía</t>
        </is>
      </c>
      <c r="N17" s="41" t="n">
        <v>3</v>
      </c>
      <c r="O17" s="41" t="inlineStr">
        <is>
          <t>Alto</t>
        </is>
      </c>
      <c r="P17" s="40" t="inlineStr">
        <is>
          <t>Con 4 trabajadores son +20 de comida por paso, más que una zona de agricultura de nivel 3. Revisar con el simulador.</t>
        </is>
      </c>
      <c r="Q17" s="41" t="n"/>
    </row>
    <row r="18" ht="23.25" customHeight="1" s="27">
      <c r="A18" s="41" t="inlineStr">
        <is>
          <t>T017</t>
        </is>
      </c>
      <c r="B18" s="42" t="inlineStr">
        <is>
          <t>Revolución agrícola</t>
        </is>
      </c>
      <c r="C18" s="41" t="n">
        <v>5</v>
      </c>
      <c r="D18" s="41">
        <f>IF(Q18="Sí",0,C18*Reglas!$C$5)</f>
        <v/>
      </c>
      <c r="E18" s="40" t="inlineStr">
        <is>
          <t>Civil</t>
        </is>
      </c>
      <c r="F18" s="40" t="inlineStr">
        <is>
          <t>Agricultura</t>
        </is>
      </c>
      <c r="G18" s="41" t="inlineStr">
        <is>
          <t>Opcional</t>
        </is>
      </c>
      <c r="H18" s="40" t="inlineStr">
        <is>
          <t>Agricultura</t>
        </is>
      </c>
      <c r="I18" s="40" t="inlineStr">
        <is>
          <t>Comida</t>
        </is>
      </c>
      <c r="J18" s="40" t="inlineStr">
        <is>
          <t>Las zonas de agricultura nivel 3 generan +6 de comida adicionales.</t>
        </is>
      </c>
      <c r="K18" s="40" t="inlineStr">
        <is>
          <t>Cosecha comunal (T005); Ganadería (T012)</t>
        </is>
      </c>
      <c r="L18" s="41">
        <f>IF(C18=1,0,CHOOSE(C18-1,Reglas!$C$6,Reglas!$C$7,Reglas!$C$8,Reglas!$C$9))</f>
        <v/>
      </c>
      <c r="M18" s="41" t="inlineStr">
        <is>
          <t>Mía</t>
        </is>
      </c>
      <c r="N18" s="41" t="n">
        <v>3</v>
      </c>
      <c r="O18" s="41" t="inlineStr">
        <is>
          <t>Medio</t>
        </is>
      </c>
      <c r="P18" s="40" t="inlineStr">
        <is>
          <t>Fuerte, pero muy específica: solo sirve con zonas de nivel 3.</t>
        </is>
      </c>
      <c r="Q18" s="41" t="n"/>
    </row>
    <row r="19" ht="15" customHeight="1" s="27">
      <c r="A19" s="38" t="inlineStr">
        <is>
          <t>T018</t>
        </is>
      </c>
      <c r="B19" s="39" t="inlineStr">
        <is>
          <t>Herramientas</t>
        </is>
      </c>
      <c r="C19" s="38" t="n">
        <v>1</v>
      </c>
      <c r="D19" s="38">
        <f>IF(Q19="Sí",0,C19*Reglas!$C$5)</f>
        <v/>
      </c>
      <c r="E19" s="40" t="inlineStr">
        <is>
          <t>Civil</t>
        </is>
      </c>
      <c r="F19" s="40" t="inlineStr">
        <is>
          <t>Producción</t>
        </is>
      </c>
      <c r="G19" s="38" t="inlineStr">
        <is>
          <t>Vertebral</t>
        </is>
      </c>
      <c r="H19" s="40" t="inlineStr">
        <is>
          <t>Producción</t>
        </is>
      </c>
      <c r="I19" s="40" t="inlineStr">
        <is>
          <t>Producción</t>
        </is>
      </c>
      <c r="J19" s="40" t="inlineStr">
        <is>
          <t>+1 de producción por ingeniero.</t>
        </is>
      </c>
      <c r="K19" s="40" t="inlineStr">
        <is>
          <t>—</t>
        </is>
      </c>
      <c r="L19" s="41">
        <f>IF(C19=1,0,CHOOSE(C19-1,Reglas!$C$6,Reglas!$C$7,Reglas!$C$8,Reglas!$C$9))</f>
        <v/>
      </c>
      <c r="M19" s="41" t="inlineStr">
        <is>
          <t>Mía</t>
        </is>
      </c>
      <c r="N19" s="41" t="n">
        <v>5</v>
      </c>
      <c r="O19" s="41" t="inlineStr">
        <is>
          <t>Bajo</t>
        </is>
      </c>
      <c r="P19" s="40" t="inlineStr">
        <is>
          <t>Mejora clara y barata; base para el plan de edificios.</t>
        </is>
      </c>
      <c r="Q19" s="41" t="n"/>
    </row>
    <row r="20" ht="23.25" customHeight="1" s="27">
      <c r="A20" s="38" t="inlineStr">
        <is>
          <t>T019</t>
        </is>
      </c>
      <c r="B20" s="39" t="inlineStr">
        <is>
          <t>Ingeniería básica</t>
        </is>
      </c>
      <c r="C20" s="38" t="n">
        <v>2</v>
      </c>
      <c r="D20" s="38">
        <f>IF(Q20="Sí",0,C20*Reglas!$C$5)</f>
        <v/>
      </c>
      <c r="E20" s="40" t="inlineStr">
        <is>
          <t>Civil</t>
        </is>
      </c>
      <c r="F20" s="40" t="inlineStr">
        <is>
          <t>Producción</t>
        </is>
      </c>
      <c r="G20" s="38" t="inlineStr">
        <is>
          <t>Vertebral</t>
        </is>
      </c>
      <c r="H20" s="40" t="inlineStr">
        <is>
          <t>Zonas</t>
        </is>
      </c>
      <c r="I20" s="40" t="inlineStr">
        <is>
          <t>Zona especializada</t>
        </is>
      </c>
      <c r="J20" s="40" t="inlineStr">
        <is>
          <t>Desbloquea la zona de producción nivel 2 (+8 de producción de zona).</t>
        </is>
      </c>
      <c r="K20" s="40" t="inlineStr">
        <is>
          <t>Herramientas (T018)</t>
        </is>
      </c>
      <c r="L20" s="41">
        <f>IF(C20=1,0,CHOOSE(C20-1,Reglas!$C$6,Reglas!$C$7,Reglas!$C$8,Reglas!$C$9))</f>
        <v/>
      </c>
      <c r="M20" s="41" t="inlineStr">
        <is>
          <t>Mía</t>
        </is>
      </c>
      <c r="N20" s="41" t="n">
        <v>4</v>
      </c>
      <c r="O20" s="41" t="inlineStr">
        <is>
          <t>Bajo</t>
        </is>
      </c>
      <c r="P20" s="40" t="inlineStr">
        <is>
          <t>Buen salto para el plan de edificios.</t>
        </is>
      </c>
      <c r="Q20" s="41" t="n"/>
    </row>
    <row r="21" ht="15" customHeight="1" s="27">
      <c r="A21" s="38" t="inlineStr">
        <is>
          <t>T020</t>
        </is>
      </c>
      <c r="B21" s="39" t="inlineStr">
        <is>
          <t>Carretillas</t>
        </is>
      </c>
      <c r="C21" s="38" t="n">
        <v>2</v>
      </c>
      <c r="D21" s="38">
        <f>IF(Q21="Sí",0,C21*Reglas!$C$5)</f>
        <v/>
      </c>
      <c r="E21" s="40" t="inlineStr">
        <is>
          <t>Civil</t>
        </is>
      </c>
      <c r="F21" s="40" t="inlineStr">
        <is>
          <t>Producción</t>
        </is>
      </c>
      <c r="G21" s="38" t="inlineStr">
        <is>
          <t>Vertebral</t>
        </is>
      </c>
      <c r="H21" s="40" t="inlineStr">
        <is>
          <t>Producción</t>
        </is>
      </c>
      <c r="I21" s="40" t="inlineStr">
        <is>
          <t>Producción</t>
        </is>
      </c>
      <c r="J21" s="40" t="inlineStr">
        <is>
          <t>+1 de producción por poblador normal.</t>
        </is>
      </c>
      <c r="K21" s="40" t="inlineStr">
        <is>
          <t>Herramientas (T018)</t>
        </is>
      </c>
      <c r="L21" s="41">
        <f>IF(C21=1,0,CHOOSE(C21-1,Reglas!$C$6,Reglas!$C$7,Reglas!$C$8,Reglas!$C$9))</f>
        <v/>
      </c>
      <c r="M21" s="41" t="inlineStr">
        <is>
          <t>Mía</t>
        </is>
      </c>
      <c r="N21" s="41" t="n">
        <v>4</v>
      </c>
      <c r="O21" s="41" t="inlineStr">
        <is>
          <t>Bajo</t>
        </is>
      </c>
      <c r="P21" s="40" t="inlineStr">
        <is>
          <t>Beneficia a las zonas básicas.</t>
        </is>
      </c>
      <c r="Q21" s="41" t="n"/>
    </row>
    <row r="22" ht="15" customHeight="1" s="27">
      <c r="A22" s="38" t="inlineStr">
        <is>
          <t>T021</t>
        </is>
      </c>
      <c r="B22" s="39" t="inlineStr">
        <is>
          <t>Minería</t>
        </is>
      </c>
      <c r="C22" s="38" t="n">
        <v>3</v>
      </c>
      <c r="D22" s="38">
        <f>IF(Q22="Sí",0,C22*Reglas!$C$5)</f>
        <v/>
      </c>
      <c r="E22" s="40" t="inlineStr">
        <is>
          <t>Civil</t>
        </is>
      </c>
      <c r="F22" s="40" t="inlineStr">
        <is>
          <t>Producción</t>
        </is>
      </c>
      <c r="G22" s="38" t="inlineStr">
        <is>
          <t>Vertebral</t>
        </is>
      </c>
      <c r="H22" s="40" t="inlineStr">
        <is>
          <t>Producción</t>
        </is>
      </c>
      <c r="I22" s="40" t="inlineStr">
        <is>
          <t>Producción</t>
        </is>
      </c>
      <c r="J22" s="40" t="inlineStr">
        <is>
          <t>Cada zona de producción gana +2 de producción por nivel de zona.</t>
        </is>
      </c>
      <c r="K22" s="40" t="inlineStr">
        <is>
          <t>Carretillas (T020)</t>
        </is>
      </c>
      <c r="L22" s="41">
        <f>IF(C22=1,0,CHOOSE(C22-1,Reglas!$C$6,Reglas!$C$7,Reglas!$C$8,Reglas!$C$9))</f>
        <v/>
      </c>
      <c r="M22" s="41" t="inlineStr">
        <is>
          <t>Mía</t>
        </is>
      </c>
      <c r="N22" s="41" t="n">
        <v>3</v>
      </c>
      <c r="O22" s="41" t="inlineStr">
        <is>
          <t>Medio</t>
        </is>
      </c>
      <c r="P22" s="40" t="inlineStr">
        <is>
          <t>Premia la especialización, igual que Ganadería.</t>
        </is>
      </c>
      <c r="Q22" s="41" t="n"/>
    </row>
    <row r="23" ht="23.25" customHeight="1" s="27">
      <c r="A23" s="38" t="inlineStr">
        <is>
          <t>T022</t>
        </is>
      </c>
      <c r="B23" s="39" t="inlineStr">
        <is>
          <t>Ingeniería avanzada</t>
        </is>
      </c>
      <c r="C23" s="38" t="n">
        <v>4</v>
      </c>
      <c r="D23" s="38">
        <f>IF(Q23="Sí",0,C23*Reglas!$C$5)</f>
        <v/>
      </c>
      <c r="E23" s="40" t="inlineStr">
        <is>
          <t>Civil</t>
        </is>
      </c>
      <c r="F23" s="40" t="inlineStr">
        <is>
          <t>Producción</t>
        </is>
      </c>
      <c r="G23" s="38" t="inlineStr">
        <is>
          <t>Vertebral</t>
        </is>
      </c>
      <c r="H23" s="40" t="inlineStr">
        <is>
          <t>Zonas</t>
        </is>
      </c>
      <c r="I23" s="40" t="inlineStr">
        <is>
          <t>Zona especializada</t>
        </is>
      </c>
      <c r="J23" s="40" t="inlineStr">
        <is>
          <t>Desbloquea la zona de producción nivel 3 (+12 de producción de zona).</t>
        </is>
      </c>
      <c r="K23" s="40" t="inlineStr">
        <is>
          <t>Ingeniería básica (T019); Minería (T021)</t>
        </is>
      </c>
      <c r="L23" s="41">
        <f>IF(C23=1,0,CHOOSE(C23-1,Reglas!$C$6,Reglas!$C$7,Reglas!$C$8,Reglas!$C$9))</f>
        <v/>
      </c>
      <c r="M23" s="41" t="inlineStr">
        <is>
          <t>Mía</t>
        </is>
      </c>
      <c r="N23" s="41" t="n">
        <v>4</v>
      </c>
      <c r="O23" s="41" t="inlineStr">
        <is>
          <t>Bajo</t>
        </is>
      </c>
      <c r="P23" s="40" t="inlineStr">
        <is>
          <t>Imprescindible para las Maravillas.</t>
        </is>
      </c>
      <c r="Q23" s="41" t="n"/>
    </row>
    <row r="24" ht="15" customHeight="1" s="27">
      <c r="A24" s="38" t="inlineStr">
        <is>
          <t>T023</t>
        </is>
      </c>
      <c r="B24" s="39" t="inlineStr">
        <is>
          <t>Maquinaria</t>
        </is>
      </c>
      <c r="C24" s="38" t="n">
        <v>5</v>
      </c>
      <c r="D24" s="38">
        <f>IF(Q24="Sí",0,C24*Reglas!$C$5)</f>
        <v/>
      </c>
      <c r="E24" s="40" t="inlineStr">
        <is>
          <t>Civil</t>
        </is>
      </c>
      <c r="F24" s="40" t="inlineStr">
        <is>
          <t>Producción</t>
        </is>
      </c>
      <c r="G24" s="38" t="inlineStr">
        <is>
          <t>Vertebral</t>
        </is>
      </c>
      <c r="H24" s="40" t="inlineStr">
        <is>
          <t>Producción</t>
        </is>
      </c>
      <c r="I24" s="40" t="inlineStr">
        <is>
          <t>Producción</t>
        </is>
      </c>
      <c r="J24" s="40" t="inlineStr">
        <is>
          <t>Desbloquea La Gran Fragua, la maravilla de Producción (única en la partida): +1 de producción por ingeniero mientras controles su zona. Solo se puede investigar si nadie la ha construido.</t>
        </is>
      </c>
      <c r="K24" s="40" t="inlineStr">
        <is>
          <t>Ingeniería avanzada (T022)</t>
        </is>
      </c>
      <c r="L24" s="41">
        <f>IF(C24=1,0,CHOOSE(C24-1,Reglas!$C$6,Reglas!$C$7,Reglas!$C$8,Reglas!$C$9))</f>
        <v/>
      </c>
      <c r="M24" s="41" t="inlineStr">
        <is>
          <t>Mía</t>
        </is>
      </c>
      <c r="N24" s="41" t="n">
        <v>3</v>
      </c>
      <c r="O24" s="41" t="inlineStr">
        <is>
          <t>Medio</t>
        </is>
      </c>
      <c r="P24" s="40" t="inlineStr">
        <is>
          <t>Por sí sola no da su efecto: lo da la maravilla. Si otro la termina antes, pierdes la obra y recuperas la mitad de la producción, pero conservas la tecnología (cuenta para la victoria tecnológica).</t>
        </is>
      </c>
      <c r="Q24" s="41" t="n"/>
    </row>
    <row r="25" ht="15" customHeight="1" s="27">
      <c r="A25" s="41" t="inlineStr">
        <is>
          <t>T024</t>
        </is>
      </c>
      <c r="B25" s="42" t="inlineStr">
        <is>
          <t>Talleres</t>
        </is>
      </c>
      <c r="C25" s="41" t="n">
        <v>1</v>
      </c>
      <c r="D25" s="41">
        <f>IF(Q25="Sí",0,C25*Reglas!$C$5)</f>
        <v/>
      </c>
      <c r="E25" s="40" t="inlineStr">
        <is>
          <t>Construcción</t>
        </is>
      </c>
      <c r="F25" s="40" t="inlineStr">
        <is>
          <t>Producción</t>
        </is>
      </c>
      <c r="G25" s="41" t="inlineStr">
        <is>
          <t>Opcional</t>
        </is>
      </c>
      <c r="H25" s="40" t="inlineStr">
        <is>
          <t>Taller</t>
        </is>
      </c>
      <c r="I25" s="40" t="inlineStr">
        <is>
          <t>Desbloqueo de edificio</t>
        </is>
      </c>
      <c r="J25" s="40" t="inlineStr">
        <is>
          <t>Permite construir el Taller: +1 de producción por trabajador.</t>
        </is>
      </c>
      <c r="K25" s="40" t="inlineStr">
        <is>
          <t>—</t>
        </is>
      </c>
      <c r="L25" s="41">
        <f>IF(C25=1,0,CHOOSE(C25-1,Reglas!$C$6,Reglas!$C$7,Reglas!$C$8,Reglas!$C$9))</f>
        <v/>
      </c>
      <c r="M25" s="41" t="inlineStr">
        <is>
          <t>Tuya</t>
        </is>
      </c>
      <c r="N25" s="41" t="n">
        <v>5</v>
      </c>
      <c r="O25" s="41" t="inlineStr">
        <is>
          <t>Bajo</t>
        </is>
      </c>
      <c r="P25" s="40" t="inlineStr">
        <is>
          <t>Mejora directa de producción; base para armas y edificios.</t>
        </is>
      </c>
      <c r="Q25" s="41" t="inlineStr">
        <is>
          <t>Sí</t>
        </is>
      </c>
    </row>
    <row r="26" ht="15" customHeight="1" s="27">
      <c r="A26" s="41" t="inlineStr">
        <is>
          <t>T025</t>
        </is>
      </c>
      <c r="B26" s="42" t="inlineStr">
        <is>
          <t>Taller de herrería</t>
        </is>
      </c>
      <c r="C26" s="41" t="n">
        <v>2</v>
      </c>
      <c r="D26" s="41">
        <f>IF(Q26="Sí",0,C26*Reglas!$C$5)</f>
        <v/>
      </c>
      <c r="E26" s="40" t="inlineStr">
        <is>
          <t>Construcción</t>
        </is>
      </c>
      <c r="F26" s="40" t="inlineStr">
        <is>
          <t>Producción</t>
        </is>
      </c>
      <c r="G26" s="41" t="inlineStr">
        <is>
          <t>Opcional</t>
        </is>
      </c>
      <c r="H26" s="40" t="inlineStr">
        <is>
          <t>Taller</t>
        </is>
      </c>
      <c r="I26" s="40" t="inlineStr">
        <is>
          <t>Mejora de edificio</t>
        </is>
      </c>
      <c r="J26" s="40" t="inlineStr">
        <is>
          <t>El Taller da +2 de producción por trabajador (reemplaza al +1).</t>
        </is>
      </c>
      <c r="K26" s="40" t="inlineStr">
        <is>
          <t>Talleres (T024)</t>
        </is>
      </c>
      <c r="L26" s="41">
        <f>IF(C26=1,0,CHOOSE(C26-1,Reglas!$C$6,Reglas!$C$7,Reglas!$C$8,Reglas!$C$9))</f>
        <v/>
      </c>
      <c r="M26" s="41" t="inlineStr">
        <is>
          <t>Mía</t>
        </is>
      </c>
      <c r="N26" s="41" t="n">
        <v>4</v>
      </c>
      <c r="O26" s="41" t="inlineStr">
        <is>
          <t>Bajo</t>
        </is>
      </c>
      <c r="P26" s="40" t="inlineStr">
        <is>
          <t>Escala bien con los trabajadores extra.</t>
        </is>
      </c>
      <c r="Q26" s="41" t="n"/>
    </row>
    <row r="27" ht="15" customHeight="1" s="27">
      <c r="A27" s="41" t="inlineStr">
        <is>
          <t>T026</t>
        </is>
      </c>
      <c r="B27" s="42" t="inlineStr">
        <is>
          <t>Aprendices</t>
        </is>
      </c>
      <c r="C27" s="41" t="n">
        <v>2</v>
      </c>
      <c r="D27" s="41">
        <f>IF(Q27="Sí",0,C27*Reglas!$C$5)</f>
        <v/>
      </c>
      <c r="E27" s="40" t="inlineStr">
        <is>
          <t>Civil</t>
        </is>
      </c>
      <c r="F27" s="40" t="inlineStr">
        <is>
          <t>Producción</t>
        </is>
      </c>
      <c r="G27" s="41" t="inlineStr">
        <is>
          <t>Opcional</t>
        </is>
      </c>
      <c r="H27" s="40" t="inlineStr">
        <is>
          <t>Producción</t>
        </is>
      </c>
      <c r="I27" s="40" t="inlineStr">
        <is>
          <t>Producción</t>
        </is>
      </c>
      <c r="J27" s="40" t="inlineStr">
        <is>
          <t>Especializar civiles cuesta 0 de producción en zonas con Taller.</t>
        </is>
      </c>
      <c r="K27" s="40" t="inlineStr">
        <is>
          <t>Herramientas (T018); Talleres (T024)</t>
        </is>
      </c>
      <c r="L27" s="41">
        <f>IF(C27=1,0,CHOOSE(C27-1,Reglas!$C$6,Reglas!$C$7,Reglas!$C$8,Reglas!$C$9))</f>
        <v/>
      </c>
      <c r="M27" s="41" t="inlineStr">
        <is>
          <t>Mía</t>
        </is>
      </c>
      <c r="N27" s="41" t="n">
        <v>3</v>
      </c>
      <c r="O27" s="41" t="inlineStr">
        <is>
          <t>Medio</t>
        </is>
      </c>
      <c r="P27" s="40" t="inlineStr">
        <is>
          <t>Fomenta tener Taller en cada zona; puede volver trivial el costo de especializar.</t>
        </is>
      </c>
      <c r="Q27" s="41" t="n"/>
    </row>
    <row r="28" ht="34.5" customHeight="1" s="27">
      <c r="A28" s="41" t="inlineStr">
        <is>
          <t>T027</t>
        </is>
      </c>
      <c r="B28" s="42" t="inlineStr">
        <is>
          <t>Terrazas</t>
        </is>
      </c>
      <c r="C28" s="41" t="n">
        <v>2</v>
      </c>
      <c r="D28" s="41">
        <f>IF(Q28="Sí",0,C28*Reglas!$C$5)</f>
        <v/>
      </c>
      <c r="E28" s="40" t="inlineStr">
        <is>
          <t>Civil</t>
        </is>
      </c>
      <c r="F28" s="40" t="inlineStr">
        <is>
          <t>Producción</t>
        </is>
      </c>
      <c r="G28" s="41" t="inlineStr">
        <is>
          <t>Opcional</t>
        </is>
      </c>
      <c r="H28" s="40" t="inlineStr">
        <is>
          <t>Terreno y eventos</t>
        </is>
      </c>
      <c r="I28" s="40" t="inlineStr">
        <is>
          <t>Terreno</t>
        </is>
      </c>
      <c r="J28" s="40" t="inlineStr">
        <is>
          <t>En Montañas, ingenieros y pobladores producen +1 de producción adicional.</t>
        </is>
      </c>
      <c r="K28" s="40" t="inlineStr">
        <is>
          <t>Herramientas (T018)</t>
        </is>
      </c>
      <c r="L28" s="41">
        <f>IF(C28=1,0,CHOOSE(C28-1,Reglas!$C$6,Reglas!$C$7,Reglas!$C$8,Reglas!$C$9))</f>
        <v/>
      </c>
      <c r="M28" s="41" t="inlineStr">
        <is>
          <t>Mía</t>
        </is>
      </c>
      <c r="N28" s="41" t="n">
        <v>3</v>
      </c>
      <c r="O28" s="41" t="inlineStr">
        <is>
          <t>Medio</t>
        </is>
      </c>
      <c r="P28" s="40" t="inlineStr">
        <is>
          <t>Sumada al bono natural de las Montañas, un ingeniero rinde +2 de producción extra en esa zona. Premia buscar el terreno, pero también inclina el mapa a favor de quien parte con Montañas.</t>
        </is>
      </c>
      <c r="Q28" s="41" t="n"/>
    </row>
    <row r="29" ht="23.25" customHeight="1" s="27">
      <c r="A29" s="41" t="inlineStr">
        <is>
          <t>T028</t>
        </is>
      </c>
      <c r="B29" s="42" t="inlineStr">
        <is>
          <t>Taller de armería</t>
        </is>
      </c>
      <c r="C29" s="41" t="n">
        <v>3</v>
      </c>
      <c r="D29" s="41">
        <f>IF(Q29="Sí",0,C29*Reglas!$C$5)</f>
        <v/>
      </c>
      <c r="E29" s="40" t="inlineStr">
        <is>
          <t>Construcción</t>
        </is>
      </c>
      <c r="F29" s="40" t="inlineStr">
        <is>
          <t>Producción</t>
        </is>
      </c>
      <c r="G29" s="41" t="inlineStr">
        <is>
          <t>Opcional</t>
        </is>
      </c>
      <c r="H29" s="40" t="inlineStr">
        <is>
          <t>Taller</t>
        </is>
      </c>
      <c r="I29" s="40" t="inlineStr">
        <is>
          <t>Especialización de edificio</t>
        </is>
      </c>
      <c r="J29" s="40" t="inlineStr">
        <is>
          <t>Esp.: las armas fabricadas en este Taller cuestan 1 de producción menos.</t>
        </is>
      </c>
      <c r="K29" s="40" t="inlineStr">
        <is>
          <t>Taller de herrería (T025); Cuarteles (T158)</t>
        </is>
      </c>
      <c r="L29" s="41">
        <f>IF(C29=1,0,CHOOSE(C29-1,Reglas!$C$6,Reglas!$C$7,Reglas!$C$8,Reglas!$C$9))</f>
        <v/>
      </c>
      <c r="M29" s="41" t="inlineStr">
        <is>
          <t>Mía</t>
        </is>
      </c>
      <c r="N29" s="41" t="n">
        <v>3</v>
      </c>
      <c r="O29" s="41" t="inlineStr">
        <is>
          <t>Bajo</t>
        </is>
      </c>
      <c r="P29" s="40" t="inlineStr">
        <is>
          <t>Une economía y guerra. Los costos de armas (3 a 6) son bajos, así que el ahorro puede ser pequeño.</t>
        </is>
      </c>
      <c r="Q29" s="41" t="n"/>
    </row>
    <row r="30" ht="15" customHeight="1" s="27">
      <c r="A30" s="41" t="inlineStr">
        <is>
          <t>T029</t>
        </is>
      </c>
      <c r="B30" s="42" t="inlineStr">
        <is>
          <t>Taller de maquinaria</t>
        </is>
      </c>
      <c r="C30" s="41" t="n">
        <v>4</v>
      </c>
      <c r="D30" s="41">
        <f>IF(Q30="Sí",0,C30*Reglas!$C$5)</f>
        <v/>
      </c>
      <c r="E30" s="40" t="inlineStr">
        <is>
          <t>Construcción</t>
        </is>
      </c>
      <c r="F30" s="40" t="inlineStr">
        <is>
          <t>Producción</t>
        </is>
      </c>
      <c r="G30" s="41" t="inlineStr">
        <is>
          <t>Opcional</t>
        </is>
      </c>
      <c r="H30" s="40" t="inlineStr">
        <is>
          <t>Taller</t>
        </is>
      </c>
      <c r="I30" s="40" t="inlineStr">
        <is>
          <t>Mejora de edificio</t>
        </is>
      </c>
      <c r="J30" s="40" t="inlineStr">
        <is>
          <t>El Taller da +3 de producción por trabajador.</t>
        </is>
      </c>
      <c r="K30" s="40" t="inlineStr">
        <is>
          <t>Taller de armería (T028)</t>
        </is>
      </c>
      <c r="L30" s="41">
        <f>IF(C30=1,0,CHOOSE(C30-1,Reglas!$C$6,Reglas!$C$7,Reglas!$C$8,Reglas!$C$9))</f>
        <v/>
      </c>
      <c r="M30" s="41" t="inlineStr">
        <is>
          <t>Mía</t>
        </is>
      </c>
      <c r="N30" s="41" t="n">
        <v>4</v>
      </c>
      <c r="O30" s="41" t="inlineStr">
        <is>
          <t>Medio</t>
        </is>
      </c>
      <c r="P30" s="40" t="inlineStr">
        <is>
          <t>Es el camino natural hacia las Maravillas.</t>
        </is>
      </c>
      <c r="Q30" s="41" t="n"/>
    </row>
    <row r="31" ht="23.25" customHeight="1" s="27">
      <c r="A31" s="41" t="inlineStr">
        <is>
          <t>T030</t>
        </is>
      </c>
      <c r="B31" s="42" t="inlineStr">
        <is>
          <t>Línea de ensamblaje</t>
        </is>
      </c>
      <c r="C31" s="41" t="n">
        <v>4</v>
      </c>
      <c r="D31" s="41">
        <f>IF(Q31="Sí",0,C31*Reglas!$C$5)</f>
        <v/>
      </c>
      <c r="E31" s="40" t="inlineStr">
        <is>
          <t>Civil</t>
        </is>
      </c>
      <c r="F31" s="40" t="inlineStr">
        <is>
          <t>Producción</t>
        </is>
      </c>
      <c r="G31" s="41" t="inlineStr">
        <is>
          <t>Opcional</t>
        </is>
      </c>
      <c r="H31" s="40" t="inlineStr">
        <is>
          <t>Producción</t>
        </is>
      </c>
      <c r="I31" s="40" t="inlineStr">
        <is>
          <t>Producción</t>
        </is>
      </c>
      <c r="J31" s="40" t="inlineStr">
        <is>
          <t>Cada ingeniero que construye puede usar +1 de producción por paso (se suma a Cuadrillas de obra).</t>
        </is>
      </c>
      <c r="K31" s="40" t="inlineStr">
        <is>
          <t>Cuadrillas de obra (T092); Minería (T021)</t>
        </is>
      </c>
      <c r="L31" s="41">
        <f>IF(C31=1,0,CHOOSE(C31-1,Reglas!$C$6,Reglas!$C$7,Reglas!$C$8,Reglas!$C$9))</f>
        <v/>
      </c>
      <c r="M31" s="41" t="inlineStr">
        <is>
          <t>Mía</t>
        </is>
      </c>
      <c r="N31" s="41" t="n">
        <v>3</v>
      </c>
      <c r="O31" s="41" t="inlineStr">
        <is>
          <t>Medio</t>
        </is>
      </c>
      <c r="P31" s="40" t="inlineStr">
        <is>
          <t>Fuerte para los planes de edificios y Maravillas.</t>
        </is>
      </c>
      <c r="Q31" s="41" t="n"/>
    </row>
    <row r="32" ht="23.25" customHeight="1" s="27">
      <c r="A32" s="41" t="inlineStr">
        <is>
          <t>T031</t>
        </is>
      </c>
      <c r="B32" s="42" t="inlineStr">
        <is>
          <t>Gran manufactura</t>
        </is>
      </c>
      <c r="C32" s="41" t="n">
        <v>5</v>
      </c>
      <c r="D32" s="41">
        <f>IF(Q32="Sí",0,C32*Reglas!$C$5)</f>
        <v/>
      </c>
      <c r="E32" s="40" t="inlineStr">
        <is>
          <t>Construcción</t>
        </is>
      </c>
      <c r="F32" s="40" t="inlineStr">
        <is>
          <t>Producción</t>
        </is>
      </c>
      <c r="G32" s="41" t="inlineStr">
        <is>
          <t>Opcional</t>
        </is>
      </c>
      <c r="H32" s="40" t="inlineStr">
        <is>
          <t>Taller</t>
        </is>
      </c>
      <c r="I32" s="40" t="inlineStr">
        <is>
          <t>Mejora de edificio</t>
        </is>
      </c>
      <c r="J32" s="40" t="inlineStr">
        <is>
          <t>El Taller da +5 de producción por trabajador.</t>
        </is>
      </c>
      <c r="K32" s="40" t="inlineStr">
        <is>
          <t>Taller de maquinaria (T029)</t>
        </is>
      </c>
      <c r="L32" s="41">
        <f>IF(C32=1,0,CHOOSE(C32-1,Reglas!$C$6,Reglas!$C$7,Reglas!$C$8,Reglas!$C$9))</f>
        <v/>
      </c>
      <c r="M32" s="41" t="inlineStr">
        <is>
          <t>Mía</t>
        </is>
      </c>
      <c r="N32" s="41" t="n">
        <v>3</v>
      </c>
      <c r="O32" s="41" t="inlineStr">
        <is>
          <t>Alto</t>
        </is>
      </c>
      <c r="P32" s="40" t="inlineStr">
        <is>
          <t>Con 4 trabajadores son +20 de producción por paso: una Maravilla cada 25 pasos solo con este edificio. Vigilar.</t>
        </is>
      </c>
      <c r="Q32" s="41" t="n"/>
    </row>
    <row r="33" ht="15" customHeight="1" s="27">
      <c r="A33" s="38" t="inlineStr">
        <is>
          <t>T032</t>
        </is>
      </c>
      <c r="B33" s="39" t="inlineStr">
        <is>
          <t>Moneda</t>
        </is>
      </c>
      <c r="C33" s="38" t="n">
        <v>1</v>
      </c>
      <c r="D33" s="38">
        <f>IF(Q33="Sí",0,C33*Reglas!$C$5)</f>
        <v/>
      </c>
      <c r="E33" s="40" t="inlineStr">
        <is>
          <t>Civil</t>
        </is>
      </c>
      <c r="F33" s="40" t="inlineStr">
        <is>
          <t>Comercio</t>
        </is>
      </c>
      <c r="G33" s="38" t="inlineStr">
        <is>
          <t>Vertebral</t>
        </is>
      </c>
      <c r="H33" s="40" t="inlineStr">
        <is>
          <t>Comercio</t>
        </is>
      </c>
      <c r="I33" s="40" t="inlineStr">
        <is>
          <t>Oro</t>
        </is>
      </c>
      <c r="J33" s="40" t="inlineStr">
        <is>
          <t>+1 de oro por comerciante.</t>
        </is>
      </c>
      <c r="K33" s="40" t="inlineStr">
        <is>
          <t>—</t>
        </is>
      </c>
      <c r="L33" s="41">
        <f>IF(C33=1,0,CHOOSE(C33-1,Reglas!$C$6,Reglas!$C$7,Reglas!$C$8,Reglas!$C$9))</f>
        <v/>
      </c>
      <c r="M33" s="41" t="inlineStr">
        <is>
          <t>Mía</t>
        </is>
      </c>
      <c r="N33" s="41" t="n">
        <v>5</v>
      </c>
      <c r="O33" s="41" t="inlineStr">
        <is>
          <t>Bajo</t>
        </is>
      </c>
      <c r="P33" s="40" t="inlineStr">
        <is>
          <t>Mejora clara y barata; hace viable la zona comercial.</t>
        </is>
      </c>
      <c r="Q33" s="41" t="n"/>
    </row>
    <row r="34" ht="15" customHeight="1" s="27">
      <c r="A34" s="38" t="inlineStr">
        <is>
          <t>T033</t>
        </is>
      </c>
      <c r="B34" s="39" t="inlineStr">
        <is>
          <t>Rutas comerciales</t>
        </is>
      </c>
      <c r="C34" s="38" t="n">
        <v>2</v>
      </c>
      <c r="D34" s="38">
        <f>IF(Q34="Sí",0,C34*Reglas!$C$5)</f>
        <v/>
      </c>
      <c r="E34" s="40" t="inlineStr">
        <is>
          <t>Civil</t>
        </is>
      </c>
      <c r="F34" s="40" t="inlineStr">
        <is>
          <t>Comercio</t>
        </is>
      </c>
      <c r="G34" s="38" t="inlineStr">
        <is>
          <t>Vertebral</t>
        </is>
      </c>
      <c r="H34" s="40" t="inlineStr">
        <is>
          <t>Zonas</t>
        </is>
      </c>
      <c r="I34" s="40" t="inlineStr">
        <is>
          <t>Zona especializada</t>
        </is>
      </c>
      <c r="J34" s="40" t="inlineStr">
        <is>
          <t>Desbloquea la zona comercial nivel 2 (+8 de oro de zona).</t>
        </is>
      </c>
      <c r="K34" s="40" t="inlineStr">
        <is>
          <t>Moneda (T032)</t>
        </is>
      </c>
      <c r="L34" s="41">
        <f>IF(C34=1,0,CHOOSE(C34-1,Reglas!$C$6,Reglas!$C$7,Reglas!$C$8,Reglas!$C$9))</f>
        <v/>
      </c>
      <c r="M34" s="41" t="inlineStr">
        <is>
          <t>Mía</t>
        </is>
      </c>
      <c r="N34" s="41" t="n">
        <v>4</v>
      </c>
      <c r="O34" s="41" t="inlineStr">
        <is>
          <t>Bajo</t>
        </is>
      </c>
      <c r="P34" s="40" t="inlineStr">
        <is>
          <t>Pasa de 4 a 8 de oro de zona; muy buena inversión.</t>
        </is>
      </c>
      <c r="Q34" s="41" t="n"/>
    </row>
    <row r="35" ht="23.25" customHeight="1" s="27">
      <c r="A35" s="38" t="inlineStr">
        <is>
          <t>T034</t>
        </is>
      </c>
      <c r="B35" s="39" t="inlineStr">
        <is>
          <t>Caravanas</t>
        </is>
      </c>
      <c r="C35" s="38" t="n">
        <v>2</v>
      </c>
      <c r="D35" s="38">
        <f>IF(Q35="Sí",0,C35*Reglas!$C$5)</f>
        <v/>
      </c>
      <c r="E35" s="40" t="inlineStr">
        <is>
          <t>Civil</t>
        </is>
      </c>
      <c r="F35" s="40" t="inlineStr">
        <is>
          <t>Comercio</t>
        </is>
      </c>
      <c r="G35" s="38" t="inlineStr">
        <is>
          <t>Vertebral</t>
        </is>
      </c>
      <c r="H35" s="40" t="inlineStr">
        <is>
          <t>Comercio</t>
        </is>
      </c>
      <c r="I35" s="40" t="inlineStr">
        <is>
          <t>Oro</t>
        </is>
      </c>
      <c r="J35" s="40" t="inlineStr">
        <is>
          <t>Los primeros 5 de comida o producción que muevas cada paso no pagan logística.</t>
        </is>
      </c>
      <c r="K35" s="40" t="inlineStr">
        <is>
          <t>Moneda (T032)</t>
        </is>
      </c>
      <c r="L35" s="41">
        <f>IF(C35=1,0,CHOOSE(C35-1,Reglas!$C$6,Reglas!$C$7,Reglas!$C$8,Reglas!$C$9))</f>
        <v/>
      </c>
      <c r="M35" s="41" t="inlineStr">
        <is>
          <t>Mía</t>
        </is>
      </c>
      <c r="N35" s="41" t="n">
        <v>4</v>
      </c>
      <c r="O35" s="41" t="inlineStr">
        <is>
          <t>Bajo</t>
        </is>
      </c>
      <c r="P35" s="40" t="inlineStr">
        <is>
          <t>Hace sentir menos el costo del oro al inicio.</t>
        </is>
      </c>
      <c r="Q35" s="41" t="n"/>
    </row>
    <row r="36" ht="15" customHeight="1" s="27">
      <c r="A36" s="38" t="inlineStr">
        <is>
          <t>T035</t>
        </is>
      </c>
      <c r="B36" s="39" t="inlineStr">
        <is>
          <t>Contabilidad</t>
        </is>
      </c>
      <c r="C36" s="38" t="n">
        <v>3</v>
      </c>
      <c r="D36" s="38">
        <f>IF(Q36="Sí",0,C36*Reglas!$C$5)</f>
        <v/>
      </c>
      <c r="E36" s="40" t="inlineStr">
        <is>
          <t>Civil</t>
        </is>
      </c>
      <c r="F36" s="40" t="inlineStr">
        <is>
          <t>Comercio</t>
        </is>
      </c>
      <c r="G36" s="38" t="inlineStr">
        <is>
          <t>Vertebral</t>
        </is>
      </c>
      <c r="H36" s="40" t="inlineStr">
        <is>
          <t>Comercio</t>
        </is>
      </c>
      <c r="I36" s="40" t="inlineStr">
        <is>
          <t>Oro</t>
        </is>
      </c>
      <c r="J36" s="40" t="inlineStr">
        <is>
          <t>Comprar un recurso faltante cuesta 2 de oro (en vez de 3).</t>
        </is>
      </c>
      <c r="K36" s="40" t="inlineStr">
        <is>
          <t>Moneda (T032); Caravanas (T034)</t>
        </is>
      </c>
      <c r="L36" s="41">
        <f>IF(C36=1,0,CHOOSE(C36-1,Reglas!$C$6,Reglas!$C$7,Reglas!$C$8,Reglas!$C$9))</f>
        <v/>
      </c>
      <c r="M36" s="41" t="inlineStr">
        <is>
          <t>Mía</t>
        </is>
      </c>
      <c r="N36" s="41" t="n">
        <v>4</v>
      </c>
      <c r="O36" s="41" t="inlineStr">
        <is>
          <t>Bajo</t>
        </is>
      </c>
      <c r="P36" s="40" t="inlineStr">
        <is>
          <t>Reduce el castigo de las escaseces.</t>
        </is>
      </c>
      <c r="Q36" s="41" t="n"/>
    </row>
    <row r="37" ht="23.25" customHeight="1" s="27">
      <c r="A37" s="38" t="inlineStr">
        <is>
          <t>T036</t>
        </is>
      </c>
      <c r="B37" s="39" t="inlineStr">
        <is>
          <t>Gremios mercantiles</t>
        </is>
      </c>
      <c r="C37" s="38" t="n">
        <v>4</v>
      </c>
      <c r="D37" s="38">
        <f>IF(Q37="Sí",0,C37*Reglas!$C$5)</f>
        <v/>
      </c>
      <c r="E37" s="40" t="inlineStr">
        <is>
          <t>Civil</t>
        </is>
      </c>
      <c r="F37" s="40" t="inlineStr">
        <is>
          <t>Comercio</t>
        </is>
      </c>
      <c r="G37" s="38" t="inlineStr">
        <is>
          <t>Vertebral</t>
        </is>
      </c>
      <c r="H37" s="40" t="inlineStr">
        <is>
          <t>Zonas</t>
        </is>
      </c>
      <c r="I37" s="40" t="inlineStr">
        <is>
          <t>Zona especializada</t>
        </is>
      </c>
      <c r="J37" s="40" t="inlineStr">
        <is>
          <t>Desbloquea la zona comercial nivel 3 (+12 de oro de zona).</t>
        </is>
      </c>
      <c r="K37" s="40" t="inlineStr">
        <is>
          <t>Rutas comerciales (T033); Contabilidad (T035)</t>
        </is>
      </c>
      <c r="L37" s="41">
        <f>IF(C37=1,0,CHOOSE(C37-1,Reglas!$C$6,Reglas!$C$7,Reglas!$C$8,Reglas!$C$9))</f>
        <v/>
      </c>
      <c r="M37" s="41" t="inlineStr">
        <is>
          <t>Mía</t>
        </is>
      </c>
      <c r="N37" s="41" t="n">
        <v>4</v>
      </c>
      <c r="O37" s="41" t="inlineStr">
        <is>
          <t>Bajo</t>
        </is>
      </c>
      <c r="P37" s="40" t="inlineStr">
        <is>
          <t>Empuja hacia los 1000 de oro.</t>
        </is>
      </c>
      <c r="Q37" s="41" t="n"/>
    </row>
    <row r="38" ht="15" customHeight="1" s="27">
      <c r="A38" s="38" t="inlineStr">
        <is>
          <t>T037</t>
        </is>
      </c>
      <c r="B38" s="39" t="inlineStr">
        <is>
          <t>Gran compañía</t>
        </is>
      </c>
      <c r="C38" s="38" t="n">
        <v>5</v>
      </c>
      <c r="D38" s="38">
        <f>IF(Q38="Sí",0,C38*Reglas!$C$5)</f>
        <v/>
      </c>
      <c r="E38" s="40" t="inlineStr">
        <is>
          <t>Civil</t>
        </is>
      </c>
      <c r="F38" s="40" t="inlineStr">
        <is>
          <t>Comercio</t>
        </is>
      </c>
      <c r="G38" s="38" t="inlineStr">
        <is>
          <t>Vertebral</t>
        </is>
      </c>
      <c r="H38" s="40" t="inlineStr">
        <is>
          <t>Comercio</t>
        </is>
      </c>
      <c r="I38" s="40" t="inlineStr">
        <is>
          <t>Oro</t>
        </is>
      </c>
      <c r="J38" s="40" t="inlineStr">
        <is>
          <t>Desbloquea La Lonja Dorada, la maravilla de Comercio (única en la partida): +1 de oro por comerciante mientras controles su zona. Solo se puede investigar si nadie la ha construido.</t>
        </is>
      </c>
      <c r="K38" s="40" t="inlineStr">
        <is>
          <t>Gremios mercantiles (T036)</t>
        </is>
      </c>
      <c r="L38" s="41">
        <f>IF(C38=1,0,CHOOSE(C38-1,Reglas!$C$6,Reglas!$C$7,Reglas!$C$8,Reglas!$C$9))</f>
        <v/>
      </c>
      <c r="M38" s="41" t="inlineStr">
        <is>
          <t>Mía</t>
        </is>
      </c>
      <c r="N38" s="41" t="n">
        <v>3</v>
      </c>
      <c r="O38" s="41" t="inlineStr">
        <is>
          <t>Bajo</t>
        </is>
      </c>
      <c r="P38" s="40" t="inlineStr">
        <is>
          <t>Por sí sola no da su efecto: lo da la maravilla. Si otro la termina antes, pierdes la obra y recuperas la mitad de la producción, pero conservas la tecnología (cuenta para la victoria tecnológica).</t>
        </is>
      </c>
      <c r="Q38" s="41" t="n"/>
    </row>
    <row r="39" ht="15" customHeight="1" s="27">
      <c r="A39" s="41" t="inlineStr">
        <is>
          <t>T038</t>
        </is>
      </c>
      <c r="B39" s="42" t="inlineStr">
        <is>
          <t>Mercados</t>
        </is>
      </c>
      <c r="C39" s="41" t="n">
        <v>1</v>
      </c>
      <c r="D39" s="41">
        <f>IF(Q39="Sí",0,C39*Reglas!$C$5)</f>
        <v/>
      </c>
      <c r="E39" s="40" t="inlineStr">
        <is>
          <t>Construcción</t>
        </is>
      </c>
      <c r="F39" s="40" t="inlineStr">
        <is>
          <t>Comercio</t>
        </is>
      </c>
      <c r="G39" s="41" t="inlineStr">
        <is>
          <t>Opcional</t>
        </is>
      </c>
      <c r="H39" s="40" t="inlineStr">
        <is>
          <t>Mercado</t>
        </is>
      </c>
      <c r="I39" s="40" t="inlineStr">
        <is>
          <t>Desbloqueo de edificio</t>
        </is>
      </c>
      <c r="J39" s="40" t="inlineStr">
        <is>
          <t>Permite construir el Mercado: +1 de oro por trabajador.</t>
        </is>
      </c>
      <c r="K39" s="40" t="inlineStr">
        <is>
          <t>—</t>
        </is>
      </c>
      <c r="L39" s="41">
        <f>IF(C39=1,0,CHOOSE(C39-1,Reglas!$C$6,Reglas!$C$7,Reglas!$C$8,Reglas!$C$9))</f>
        <v/>
      </c>
      <c r="M39" s="41" t="inlineStr">
        <is>
          <t>Tuya</t>
        </is>
      </c>
      <c r="N39" s="41" t="n">
        <v>5</v>
      </c>
      <c r="O39" s="41" t="inlineStr">
        <is>
          <t>Bajo</t>
        </is>
      </c>
      <c r="P39" s="40" t="inlineStr">
        <is>
          <t>Primer ingreso de oro fuera de la zona comercial.</t>
        </is>
      </c>
      <c r="Q39" s="41" t="inlineStr">
        <is>
          <t>Sí</t>
        </is>
      </c>
    </row>
    <row r="40" ht="15" customHeight="1" s="27">
      <c r="A40" s="41" t="inlineStr">
        <is>
          <t>T039</t>
        </is>
      </c>
      <c r="B40" s="42" t="inlineStr">
        <is>
          <t>Mercado central</t>
        </is>
      </c>
      <c r="C40" s="41" t="n">
        <v>2</v>
      </c>
      <c r="D40" s="41">
        <f>IF(Q40="Sí",0,C40*Reglas!$C$5)</f>
        <v/>
      </c>
      <c r="E40" s="40" t="inlineStr">
        <is>
          <t>Construcción</t>
        </is>
      </c>
      <c r="F40" s="40" t="inlineStr">
        <is>
          <t>Comercio</t>
        </is>
      </c>
      <c r="G40" s="41" t="inlineStr">
        <is>
          <t>Opcional</t>
        </is>
      </c>
      <c r="H40" s="40" t="inlineStr">
        <is>
          <t>Mercado</t>
        </is>
      </c>
      <c r="I40" s="40" t="inlineStr">
        <is>
          <t>Mejora de edificio</t>
        </is>
      </c>
      <c r="J40" s="40" t="inlineStr">
        <is>
          <t>El Mercado da +2 de oro por trabajador (reemplaza al +1).</t>
        </is>
      </c>
      <c r="K40" s="40" t="inlineStr">
        <is>
          <t>Mercados (T038)</t>
        </is>
      </c>
      <c r="L40" s="41">
        <f>IF(C40=1,0,CHOOSE(C40-1,Reglas!$C$6,Reglas!$C$7,Reglas!$C$8,Reglas!$C$9))</f>
        <v/>
      </c>
      <c r="M40" s="41" t="inlineStr">
        <is>
          <t>Mía</t>
        </is>
      </c>
      <c r="N40" s="41" t="n">
        <v>4</v>
      </c>
      <c r="O40" s="41" t="inlineStr">
        <is>
          <t>Bajo</t>
        </is>
      </c>
      <c r="P40" s="40" t="inlineStr">
        <is>
          <t>Escala bien con los trabajadores extra.</t>
        </is>
      </c>
      <c r="Q40" s="41" t="n"/>
    </row>
    <row r="41" ht="15" customHeight="1" s="27">
      <c r="A41" s="41" t="inlineStr">
        <is>
          <t>T040</t>
        </is>
      </c>
      <c r="B41" s="42" t="inlineStr">
        <is>
          <t>Impuestos</t>
        </is>
      </c>
      <c r="C41" s="41" t="n">
        <v>2</v>
      </c>
      <c r="D41" s="41">
        <f>IF(Q41="Sí",0,C41*Reglas!$C$5)</f>
        <v/>
      </c>
      <c r="E41" s="40" t="inlineStr">
        <is>
          <t>Civil</t>
        </is>
      </c>
      <c r="F41" s="40" t="inlineStr">
        <is>
          <t>Comercio</t>
        </is>
      </c>
      <c r="G41" s="41" t="inlineStr">
        <is>
          <t>Opcional</t>
        </is>
      </c>
      <c r="H41" s="40" t="inlineStr">
        <is>
          <t>Comercio</t>
        </is>
      </c>
      <c r="I41" s="40" t="inlineStr">
        <is>
          <t>Oro</t>
        </is>
      </c>
      <c r="J41" s="40" t="inlineStr">
        <is>
          <t>+1 de oro por cada 2 zonas que controles.</t>
        </is>
      </c>
      <c r="K41" s="40" t="inlineStr">
        <is>
          <t>Moneda (T032)</t>
        </is>
      </c>
      <c r="L41" s="41">
        <f>IF(C41=1,0,CHOOSE(C41-1,Reglas!$C$6,Reglas!$C$7,Reglas!$C$8,Reglas!$C$9))</f>
        <v/>
      </c>
      <c r="M41" s="41" t="inlineStr">
        <is>
          <t>Mía</t>
        </is>
      </c>
      <c r="N41" s="41" t="n">
        <v>3</v>
      </c>
      <c r="O41" s="41" t="inlineStr">
        <is>
          <t>Medio</t>
        </is>
      </c>
      <c r="P41" s="40" t="inlineStr">
        <is>
          <t>Premia expandirse. Con 12 zonas serían +6 de oro: moderado.</t>
        </is>
      </c>
      <c r="Q41" s="41" t="n"/>
    </row>
    <row r="42" ht="23.25" customHeight="1" s="27">
      <c r="A42" s="41" t="inlineStr">
        <is>
          <t>T041</t>
        </is>
      </c>
      <c r="B42" s="42" t="inlineStr">
        <is>
          <t>Exportaciones</t>
        </is>
      </c>
      <c r="C42" s="41" t="n">
        <v>2</v>
      </c>
      <c r="D42" s="41">
        <f>IF(Q42="Sí",0,C42*Reglas!$C$5)</f>
        <v/>
      </c>
      <c r="E42" s="40" t="inlineStr">
        <is>
          <t>Civil</t>
        </is>
      </c>
      <c r="F42" s="40" t="inlineStr">
        <is>
          <t>Comercio</t>
        </is>
      </c>
      <c r="G42" s="41" t="inlineStr">
        <is>
          <t>Opcional</t>
        </is>
      </c>
      <c r="H42" s="40" t="inlineStr">
        <is>
          <t>Comercio</t>
        </is>
      </c>
      <c r="I42" s="40" t="inlineStr">
        <is>
          <t>Oro</t>
        </is>
      </c>
      <c r="J42" s="40" t="inlineStr">
        <is>
          <t>Puedes vender 2 de comida o producción de tu almacén por 1 de oro (por orden).</t>
        </is>
      </c>
      <c r="K42" s="40" t="inlineStr">
        <is>
          <t>Moneda (T032)</t>
        </is>
      </c>
      <c r="L42" s="41">
        <f>IF(C42=1,0,CHOOSE(C42-1,Reglas!$C$6,Reglas!$C$7,Reglas!$C$8,Reglas!$C$9))</f>
        <v/>
      </c>
      <c r="M42" s="41" t="inlineStr">
        <is>
          <t>Mía</t>
        </is>
      </c>
      <c r="N42" s="41" t="n">
        <v>3</v>
      </c>
      <c r="O42" s="41" t="inlineStr">
        <is>
          <t>Medio</t>
        </is>
      </c>
      <c r="P42" s="40" t="inlineStr">
        <is>
          <t>Introduce la venta de recursos, que hoy no existe. Decidir si se quiere.</t>
        </is>
      </c>
      <c r="Q42" s="41" t="n"/>
    </row>
    <row r="43" ht="23.25" customHeight="1" s="27">
      <c r="A43" s="41" t="inlineStr">
        <is>
          <t>T042</t>
        </is>
      </c>
      <c r="B43" s="42" t="inlineStr">
        <is>
          <t>Comercio fluvial</t>
        </is>
      </c>
      <c r="C43" s="41" t="n">
        <v>2</v>
      </c>
      <c r="D43" s="41">
        <f>IF(Q43="Sí",0,C43*Reglas!$C$5)</f>
        <v/>
      </c>
      <c r="E43" s="40" t="inlineStr">
        <is>
          <t>Civil</t>
        </is>
      </c>
      <c r="F43" s="40" t="inlineStr">
        <is>
          <t>Comercio</t>
        </is>
      </c>
      <c r="G43" s="41" t="inlineStr">
        <is>
          <t>Opcional</t>
        </is>
      </c>
      <c r="H43" s="40" t="inlineStr">
        <is>
          <t>Terreno y eventos</t>
        </is>
      </c>
      <c r="I43" s="40" t="inlineStr">
        <is>
          <t>Terreno</t>
        </is>
      </c>
      <c r="J43" s="40" t="inlineStr">
        <is>
          <t>En Ríos, los comerciantes generan +1 de oro adicional.</t>
        </is>
      </c>
      <c r="K43" s="40" t="inlineStr">
        <is>
          <t>Moneda (T032)</t>
        </is>
      </c>
      <c r="L43" s="41">
        <f>IF(C43=1,0,CHOOSE(C43-1,Reglas!$C$6,Reglas!$C$7,Reglas!$C$8,Reglas!$C$9))</f>
        <v/>
      </c>
      <c r="M43" s="41" t="inlineStr">
        <is>
          <t>Mía</t>
        </is>
      </c>
      <c r="N43" s="41" t="n">
        <v>3</v>
      </c>
      <c r="O43" s="41" t="inlineStr">
        <is>
          <t>Medio</t>
        </is>
      </c>
      <c r="P43" s="40" t="inlineStr">
        <is>
          <t>Hace de los Ríos el mejor lugar para comerciar (+2 de oro por comerciante). Combina con el bono de arqueros defensores del mismo terreno.</t>
        </is>
      </c>
      <c r="Q43" s="41" t="n"/>
    </row>
    <row r="44" ht="23.25" customHeight="1" s="27">
      <c r="A44" s="41" t="inlineStr">
        <is>
          <t>T043</t>
        </is>
      </c>
      <c r="B44" s="42" t="inlineStr">
        <is>
          <t>Comercio maderero</t>
        </is>
      </c>
      <c r="C44" s="41" t="n">
        <v>2</v>
      </c>
      <c r="D44" s="41">
        <f>IF(Q44="Sí",0,C44*Reglas!$C$5)</f>
        <v/>
      </c>
      <c r="E44" s="40" t="inlineStr">
        <is>
          <t>Civil</t>
        </is>
      </c>
      <c r="F44" s="40" t="inlineStr">
        <is>
          <t>Comercio</t>
        </is>
      </c>
      <c r="G44" s="41" t="inlineStr">
        <is>
          <t>Opcional</t>
        </is>
      </c>
      <c r="H44" s="40" t="inlineStr">
        <is>
          <t>Terreno y eventos</t>
        </is>
      </c>
      <c r="I44" s="40" t="inlineStr">
        <is>
          <t>Terreno</t>
        </is>
      </c>
      <c r="J44" s="40" t="inlineStr">
        <is>
          <t>En Bosques, los comerciantes generan +1 de oro adicional.</t>
        </is>
      </c>
      <c r="K44" s="40" t="inlineStr">
        <is>
          <t>Moneda (T032)</t>
        </is>
      </c>
      <c r="L44" s="41">
        <f>IF(C44=1,0,CHOOSE(C44-1,Reglas!$C$6,Reglas!$C$7,Reglas!$C$8,Reglas!$C$9))</f>
        <v/>
      </c>
      <c r="M44" s="41" t="inlineStr">
        <is>
          <t>Mía</t>
        </is>
      </c>
      <c r="N44" s="41" t="n">
        <v>3</v>
      </c>
      <c r="O44" s="41" t="inlineStr">
        <is>
          <t>Medio</t>
        </is>
      </c>
      <c r="P44" s="40" t="inlineStr">
        <is>
          <t>Hace de los Bosques el mejor lugar para comerciar (+2 de oro por comerciante). Los Bosques ya favorecen a arqueros atacantes.</t>
        </is>
      </c>
      <c r="Q44" s="41" t="n"/>
    </row>
    <row r="45" ht="23.25" customHeight="1" s="27">
      <c r="A45" s="41" t="inlineStr">
        <is>
          <t>T044</t>
        </is>
      </c>
      <c r="B45" s="42" t="inlineStr">
        <is>
          <t>Mercado de trueque</t>
        </is>
      </c>
      <c r="C45" s="41" t="n">
        <v>3</v>
      </c>
      <c r="D45" s="41">
        <f>IF(Q45="Sí",0,C45*Reglas!$C$5)</f>
        <v/>
      </c>
      <c r="E45" s="40" t="inlineStr">
        <is>
          <t>Construcción</t>
        </is>
      </c>
      <c r="F45" s="40" t="inlineStr">
        <is>
          <t>Comercio</t>
        </is>
      </c>
      <c r="G45" s="41" t="inlineStr">
        <is>
          <t>Opcional</t>
        </is>
      </c>
      <c r="H45" s="40" t="inlineStr">
        <is>
          <t>Mercado</t>
        </is>
      </c>
      <c r="I45" s="40" t="inlineStr">
        <is>
          <t>Especialización de edificio</t>
        </is>
      </c>
      <c r="J45" s="40" t="inlineStr">
        <is>
          <t>Esp.: comprar un recurso faltante en esta zona cuesta 1 de oro menos.</t>
        </is>
      </c>
      <c r="K45" s="40" t="inlineStr">
        <is>
          <t>Mercado central (T039)</t>
        </is>
      </c>
      <c r="L45" s="41">
        <f>IF(C45=1,0,CHOOSE(C45-1,Reglas!$C$6,Reglas!$C$7,Reglas!$C$8,Reglas!$C$9))</f>
        <v/>
      </c>
      <c r="M45" s="41" t="inlineStr">
        <is>
          <t>Mía</t>
        </is>
      </c>
      <c r="N45" s="41" t="n">
        <v>3</v>
      </c>
      <c r="O45" s="41" t="inlineStr">
        <is>
          <t>Bajo</t>
        </is>
      </c>
      <c r="P45" s="40" t="inlineStr">
        <is>
          <t>Útil cuando hay escasez, pero se solapa con Contabilidad. Pensar en combinarlas con un mínimo de 1.</t>
        </is>
      </c>
      <c r="Q45" s="41" t="n"/>
    </row>
    <row r="46" ht="23.25" customHeight="1" s="27">
      <c r="A46" s="41" t="inlineStr">
        <is>
          <t>T045</t>
        </is>
      </c>
      <c r="B46" s="42" t="inlineStr">
        <is>
          <t>Embajadas comerciales</t>
        </is>
      </c>
      <c r="C46" s="41" t="n">
        <v>3</v>
      </c>
      <c r="D46" s="41">
        <f>IF(Q46="Sí",0,C46*Reglas!$C$5)</f>
        <v/>
      </c>
      <c r="E46" s="40" t="inlineStr">
        <is>
          <t>Civil</t>
        </is>
      </c>
      <c r="F46" s="40" t="inlineStr">
        <is>
          <t>Comercio</t>
        </is>
      </c>
      <c r="G46" s="41" t="inlineStr">
        <is>
          <t>Opcional</t>
        </is>
      </c>
      <c r="H46" s="40" t="inlineStr">
        <is>
          <t>Comercio</t>
        </is>
      </c>
      <c r="I46" s="40" t="inlineStr">
        <is>
          <t>Oro</t>
        </is>
      </c>
      <c r="J46" s="40" t="inlineStr">
        <is>
          <t>Mientras tengas paz con otro jugador en una zona fronteriza, ambos ganan +1 de oro por paso.</t>
        </is>
      </c>
      <c r="K46" s="40" t="inlineStr">
        <is>
          <t>Caravanas (T034); Embajadores (T123)</t>
        </is>
      </c>
      <c r="L46" s="41">
        <f>IF(C46=1,0,CHOOSE(C46-1,Reglas!$C$6,Reglas!$C$7,Reglas!$C$8,Reglas!$C$9))</f>
        <v/>
      </c>
      <c r="M46" s="41" t="inlineStr">
        <is>
          <t>Mía</t>
        </is>
      </c>
      <c r="N46" s="41" t="n">
        <v>3</v>
      </c>
      <c r="O46" s="41" t="inlineStr">
        <is>
          <t>Medio</t>
        </is>
      </c>
      <c r="P46" s="40" t="inlineStr">
        <is>
          <t>Premia la paz. Puede dar demasiado oro al vecino al que quieres atacar.</t>
        </is>
      </c>
      <c r="Q46" s="41" t="n"/>
    </row>
    <row r="47" ht="15" customHeight="1" s="27">
      <c r="A47" s="41" t="inlineStr">
        <is>
          <t>T046</t>
        </is>
      </c>
      <c r="B47" s="42" t="inlineStr">
        <is>
          <t>Banco</t>
        </is>
      </c>
      <c r="C47" s="41" t="n">
        <v>4</v>
      </c>
      <c r="D47" s="41">
        <f>IF(Q47="Sí",0,C47*Reglas!$C$5)</f>
        <v/>
      </c>
      <c r="E47" s="40" t="inlineStr">
        <is>
          <t>Construcción</t>
        </is>
      </c>
      <c r="F47" s="40" t="inlineStr">
        <is>
          <t>Comercio</t>
        </is>
      </c>
      <c r="G47" s="41" t="inlineStr">
        <is>
          <t>Opcional</t>
        </is>
      </c>
      <c r="H47" s="40" t="inlineStr">
        <is>
          <t>Mercado</t>
        </is>
      </c>
      <c r="I47" s="40" t="inlineStr">
        <is>
          <t>Mejora de edificio</t>
        </is>
      </c>
      <c r="J47" s="40" t="inlineStr">
        <is>
          <t>El Mercado da +3 de oro por trabajador.</t>
        </is>
      </c>
      <c r="K47" s="40" t="inlineStr">
        <is>
          <t>Mercado de trueque (T044)</t>
        </is>
      </c>
      <c r="L47" s="41">
        <f>IF(C47=1,0,CHOOSE(C47-1,Reglas!$C$6,Reglas!$C$7,Reglas!$C$8,Reglas!$C$9))</f>
        <v/>
      </c>
      <c r="M47" s="41" t="inlineStr">
        <is>
          <t>Mía</t>
        </is>
      </c>
      <c r="N47" s="41" t="n">
        <v>4</v>
      </c>
      <c r="O47" s="41" t="inlineStr">
        <is>
          <t>Medio</t>
        </is>
      </c>
      <c r="P47" s="40" t="inlineStr">
        <is>
          <t>Empuja hacia los 1000 de oro de la victoria Comercial.</t>
        </is>
      </c>
      <c r="Q47" s="41" t="n"/>
    </row>
    <row r="48" ht="15" customHeight="1" s="27">
      <c r="A48" s="41" t="inlineStr">
        <is>
          <t>T047</t>
        </is>
      </c>
      <c r="B48" s="42" t="inlineStr">
        <is>
          <t>Casa de moneda</t>
        </is>
      </c>
      <c r="C48" s="41" t="n">
        <v>4</v>
      </c>
      <c r="D48" s="41">
        <f>IF(Q48="Sí",0,C48*Reglas!$C$5)</f>
        <v/>
      </c>
      <c r="E48" s="40" t="inlineStr">
        <is>
          <t>Civil</t>
        </is>
      </c>
      <c r="F48" s="40" t="inlineStr">
        <is>
          <t>Comercio</t>
        </is>
      </c>
      <c r="G48" s="41" t="inlineStr">
        <is>
          <t>Opcional</t>
        </is>
      </c>
      <c r="H48" s="40" t="inlineStr">
        <is>
          <t>Comercio</t>
        </is>
      </c>
      <c r="I48" s="40" t="inlineStr">
        <is>
          <t>Oro</t>
        </is>
      </c>
      <c r="J48" s="40" t="inlineStr">
        <is>
          <t>+1 de oro por comerciante (se suma a Moneda).</t>
        </is>
      </c>
      <c r="K48" s="40" t="inlineStr">
        <is>
          <t>Contabilidad (T035)</t>
        </is>
      </c>
      <c r="L48" s="41">
        <f>IF(C48=1,0,CHOOSE(C48-1,Reglas!$C$6,Reglas!$C$7,Reglas!$C$8,Reglas!$C$9))</f>
        <v/>
      </c>
      <c r="M48" s="41" t="inlineStr">
        <is>
          <t>Mía</t>
        </is>
      </c>
      <c r="N48" s="41" t="n">
        <v>4</v>
      </c>
      <c r="O48" s="41" t="inlineStr">
        <is>
          <t>Bajo</t>
        </is>
      </c>
      <c r="P48" s="40" t="inlineStr">
        <is>
          <t>Bono continuo para la zona comercial.</t>
        </is>
      </c>
      <c r="Q48" s="41" t="n"/>
    </row>
    <row r="49" ht="15" customHeight="1" s="27">
      <c r="A49" s="41" t="inlineStr">
        <is>
          <t>T048</t>
        </is>
      </c>
      <c r="B49" s="42" t="inlineStr">
        <is>
          <t>Monopolio</t>
        </is>
      </c>
      <c r="C49" s="41" t="n">
        <v>4</v>
      </c>
      <c r="D49" s="41">
        <f>IF(Q49="Sí",0,C49*Reglas!$C$5)</f>
        <v/>
      </c>
      <c r="E49" s="40" t="inlineStr">
        <is>
          <t>Civil</t>
        </is>
      </c>
      <c r="F49" s="40" t="inlineStr">
        <is>
          <t>Comercio</t>
        </is>
      </c>
      <c r="G49" s="41" t="inlineStr">
        <is>
          <t>Opcional</t>
        </is>
      </c>
      <c r="H49" s="40" t="inlineStr">
        <is>
          <t>Comercio</t>
        </is>
      </c>
      <c r="I49" s="40" t="inlineStr">
        <is>
          <t>Oro</t>
        </is>
      </c>
      <c r="J49" s="40" t="inlineStr">
        <is>
          <t>Cada recurso estratégico que controles da +2 de oro por paso.</t>
        </is>
      </c>
      <c r="K49" s="40" t="inlineStr">
        <is>
          <t>Impuestos (T040); Contabilidad (T035)</t>
        </is>
      </c>
      <c r="L49" s="41">
        <f>IF(C49=1,0,CHOOSE(C49-1,Reglas!$C$6,Reglas!$C$7,Reglas!$C$8,Reglas!$C$9))</f>
        <v/>
      </c>
      <c r="M49" s="41" t="inlineStr">
        <is>
          <t>Mía</t>
        </is>
      </c>
      <c r="N49" s="41" t="n">
        <v>3</v>
      </c>
      <c r="O49" s="41" t="inlineStr">
        <is>
          <t>Bajo</t>
        </is>
      </c>
      <c r="P49" s="40" t="inlineStr">
        <is>
          <t>Hace valiosos los recursos estratégicos; depende de cuántos haya en el mapa.</t>
        </is>
      </c>
      <c r="Q49" s="41" t="n"/>
    </row>
    <row r="50" ht="23.25" customHeight="1" s="27">
      <c r="A50" s="41" t="inlineStr">
        <is>
          <t>T049</t>
        </is>
      </c>
      <c r="B50" s="42" t="inlineStr">
        <is>
          <t>Seguro mercantil</t>
        </is>
      </c>
      <c r="C50" s="41" t="n">
        <v>4</v>
      </c>
      <c r="D50" s="41">
        <f>IF(Q50="Sí",0,C50*Reglas!$C$5)</f>
        <v/>
      </c>
      <c r="E50" s="40" t="inlineStr">
        <is>
          <t>Civil</t>
        </is>
      </c>
      <c r="F50" s="40" t="inlineStr">
        <is>
          <t>Comercio</t>
        </is>
      </c>
      <c r="G50" s="41" t="inlineStr">
        <is>
          <t>Opcional</t>
        </is>
      </c>
      <c r="H50" s="40" t="inlineStr">
        <is>
          <t>Comercio</t>
        </is>
      </c>
      <c r="I50" s="40" t="inlineStr">
        <is>
          <t>Oro</t>
        </is>
      </c>
      <c r="J50" s="40" t="inlineStr">
        <is>
          <t>Al final de cada paso recuperas un 25% del oro gastado en logística.</t>
        </is>
      </c>
      <c r="K50" s="40" t="inlineStr">
        <is>
          <t>Contabilidad (T035)</t>
        </is>
      </c>
      <c r="L50" s="41">
        <f>IF(C50=1,0,CHOOSE(C50-1,Reglas!$C$6,Reglas!$C$7,Reglas!$C$8,Reglas!$C$9))</f>
        <v/>
      </c>
      <c r="M50" s="41" t="inlineStr">
        <is>
          <t>Mía</t>
        </is>
      </c>
      <c r="N50" s="41" t="n">
        <v>2</v>
      </c>
      <c r="O50" s="41" t="inlineStr">
        <is>
          <t>Bajo</t>
        </is>
      </c>
      <c r="P50" s="40" t="inlineStr">
        <is>
          <t>Añade un cálculo extra de oro por paso al motor y al jugador, a cambio de una ganancia pequeña.</t>
        </is>
      </c>
      <c r="Q50" s="41" t="n"/>
    </row>
    <row r="51" ht="23.25" customHeight="1" s="27">
      <c r="A51" s="41" t="inlineStr">
        <is>
          <t>T050</t>
        </is>
      </c>
      <c r="B51" s="42" t="inlineStr">
        <is>
          <t>Bolsa imperial</t>
        </is>
      </c>
      <c r="C51" s="41" t="n">
        <v>5</v>
      </c>
      <c r="D51" s="41">
        <f>IF(Q51="Sí",0,C51*Reglas!$C$5)</f>
        <v/>
      </c>
      <c r="E51" s="40" t="inlineStr">
        <is>
          <t>Construcción</t>
        </is>
      </c>
      <c r="F51" s="40" t="inlineStr">
        <is>
          <t>Comercio</t>
        </is>
      </c>
      <c r="G51" s="41" t="inlineStr">
        <is>
          <t>Opcional</t>
        </is>
      </c>
      <c r="H51" s="40" t="inlineStr">
        <is>
          <t>Mercado</t>
        </is>
      </c>
      <c r="I51" s="40" t="inlineStr">
        <is>
          <t>Mejora de edificio</t>
        </is>
      </c>
      <c r="J51" s="40" t="inlineStr">
        <is>
          <t>El Mercado da +5 de oro por trabajador.</t>
        </is>
      </c>
      <c r="K51" s="40" t="inlineStr">
        <is>
          <t>Banco (T046)</t>
        </is>
      </c>
      <c r="L51" s="41">
        <f>IF(C51=1,0,CHOOSE(C51-1,Reglas!$C$6,Reglas!$C$7,Reglas!$C$8,Reglas!$C$9))</f>
        <v/>
      </c>
      <c r="M51" s="41" t="inlineStr">
        <is>
          <t>Mía</t>
        </is>
      </c>
      <c r="N51" s="41" t="n">
        <v>3</v>
      </c>
      <c r="O51" s="41" t="inlineStr">
        <is>
          <t>Alto</t>
        </is>
      </c>
      <c r="P51" s="40" t="inlineStr">
        <is>
          <t>Con 4 trabajadores son +20 de oro por paso. Con un solo edificio, 1000 de oro serían unos 50 pasos. Vigilar.</t>
        </is>
      </c>
      <c r="Q51" s="41" t="n"/>
    </row>
    <row r="52" ht="23.25" customHeight="1" s="27">
      <c r="A52" s="41" t="inlineStr">
        <is>
          <t>T051</t>
        </is>
      </c>
      <c r="B52" s="42" t="inlineStr">
        <is>
          <t>Ruta de la seda</t>
        </is>
      </c>
      <c r="C52" s="41" t="n">
        <v>5</v>
      </c>
      <c r="D52" s="41">
        <f>IF(Q52="Sí",0,C52*Reglas!$C$5)</f>
        <v/>
      </c>
      <c r="E52" s="40" t="inlineStr">
        <is>
          <t>Civil</t>
        </is>
      </c>
      <c r="F52" s="40" t="inlineStr">
        <is>
          <t>Comercio</t>
        </is>
      </c>
      <c r="G52" s="41" t="inlineStr">
        <is>
          <t>Opcional</t>
        </is>
      </c>
      <c r="H52" s="40" t="inlineStr">
        <is>
          <t>Comercio</t>
        </is>
      </c>
      <c r="I52" s="40" t="inlineStr">
        <is>
          <t>Oro</t>
        </is>
      </c>
      <c r="J52" s="40" t="inlineStr">
        <is>
          <t>Las zonas comerciales de nivel 3 generan +4 de oro adicionales.</t>
        </is>
      </c>
      <c r="K52" s="40" t="inlineStr">
        <is>
          <t>Monopolio (T048); Gremios mercantiles (T036)</t>
        </is>
      </c>
      <c r="L52" s="41">
        <f>IF(C52=1,0,CHOOSE(C52-1,Reglas!$C$6,Reglas!$C$7,Reglas!$C$8,Reglas!$C$9))</f>
        <v/>
      </c>
      <c r="M52" s="41" t="inlineStr">
        <is>
          <t>Mía</t>
        </is>
      </c>
      <c r="N52" s="41" t="n">
        <v>3</v>
      </c>
      <c r="O52" s="41" t="inlineStr">
        <is>
          <t>Medio</t>
        </is>
      </c>
      <c r="P52" s="40" t="inlineStr">
        <is>
          <t>Solo sirve con zonas nivel 3; fuerte para el plan de 1000 de oro.</t>
        </is>
      </c>
      <c r="Q52" s="41" t="n"/>
    </row>
    <row r="53" ht="15" customHeight="1" s="27">
      <c r="A53" s="38" t="inlineStr">
        <is>
          <t>T052</t>
        </is>
      </c>
      <c r="B53" s="39" t="inlineStr">
        <is>
          <t>Escritura</t>
        </is>
      </c>
      <c r="C53" s="38" t="n">
        <v>1</v>
      </c>
      <c r="D53" s="38">
        <f>IF(Q53="Sí",0,C53*Reglas!$C$5)</f>
        <v/>
      </c>
      <c r="E53" s="40" t="inlineStr">
        <is>
          <t>Civil</t>
        </is>
      </c>
      <c r="F53" s="40" t="inlineStr">
        <is>
          <t>Saber</t>
        </is>
      </c>
      <c r="G53" s="38" t="inlineStr">
        <is>
          <t>Vertebral</t>
        </is>
      </c>
      <c r="H53" s="40" t="inlineStr">
        <is>
          <t>Saber</t>
        </is>
      </c>
      <c r="I53" s="40" t="inlineStr">
        <is>
          <t>Tecnología</t>
        </is>
      </c>
      <c r="J53" s="40" t="inlineStr">
        <is>
          <t>+1 de tecnología por científico.</t>
        </is>
      </c>
      <c r="K53" s="40" t="inlineStr">
        <is>
          <t>—</t>
        </is>
      </c>
      <c r="L53" s="41">
        <f>IF(C53=1,0,CHOOSE(C53-1,Reglas!$C$6,Reglas!$C$7,Reglas!$C$8,Reglas!$C$9))</f>
        <v/>
      </c>
      <c r="M53" s="41" t="inlineStr">
        <is>
          <t>Mía</t>
        </is>
      </c>
      <c r="N53" s="41" t="n">
        <v>5</v>
      </c>
      <c r="O53" s="41" t="inlineStr">
        <is>
          <t>Bajo</t>
        </is>
      </c>
      <c r="P53" s="40" t="inlineStr">
        <is>
          <t>Mejora clara y barata; base de la rama.</t>
        </is>
      </c>
      <c r="Q53" s="41" t="n"/>
    </row>
    <row r="54" ht="15" customHeight="1" s="27">
      <c r="A54" s="38" t="inlineStr">
        <is>
          <t>T053</t>
        </is>
      </c>
      <c r="B54" s="39" t="inlineStr">
        <is>
          <t>Academias</t>
        </is>
      </c>
      <c r="C54" s="38" t="n">
        <v>2</v>
      </c>
      <c r="D54" s="38">
        <f>IF(Q54="Sí",0,C54*Reglas!$C$5)</f>
        <v/>
      </c>
      <c r="E54" s="40" t="inlineStr">
        <is>
          <t>Civil</t>
        </is>
      </c>
      <c r="F54" s="40" t="inlineStr">
        <is>
          <t>Saber</t>
        </is>
      </c>
      <c r="G54" s="38" t="inlineStr">
        <is>
          <t>Vertebral</t>
        </is>
      </c>
      <c r="H54" s="40" t="inlineStr">
        <is>
          <t>Zonas</t>
        </is>
      </c>
      <c r="I54" s="40" t="inlineStr">
        <is>
          <t>Zona especializada</t>
        </is>
      </c>
      <c r="J54" s="40" t="inlineStr">
        <is>
          <t>Desbloquea la zona de tecnología nivel 2 (8 de tecnología de zona).</t>
        </is>
      </c>
      <c r="K54" s="40" t="inlineStr">
        <is>
          <t>Escritura (T052)</t>
        </is>
      </c>
      <c r="L54" s="41">
        <f>IF(C54=1,0,CHOOSE(C54-1,Reglas!$C$6,Reglas!$C$7,Reglas!$C$8,Reglas!$C$9))</f>
        <v/>
      </c>
      <c r="M54" s="41" t="inlineStr">
        <is>
          <t>Mía</t>
        </is>
      </c>
      <c r="N54" s="41" t="n">
        <v>4</v>
      </c>
      <c r="O54" s="41" t="inlineStr">
        <is>
          <t>Bajo</t>
        </is>
      </c>
      <c r="P54" s="40" t="inlineStr">
        <is>
          <t>Vuelve a la tecnología un camino viable desde el inicio.</t>
        </is>
      </c>
      <c r="Q54" s="41" t="n"/>
    </row>
    <row r="55" ht="15" customHeight="1" s="27">
      <c r="A55" s="38" t="inlineStr">
        <is>
          <t>T054</t>
        </is>
      </c>
      <c r="B55" s="39" t="inlineStr">
        <is>
          <t>Escuelas</t>
        </is>
      </c>
      <c r="C55" s="38" t="n">
        <v>2</v>
      </c>
      <c r="D55" s="38">
        <f>IF(Q55="Sí",0,C55*Reglas!$C$5)</f>
        <v/>
      </c>
      <c r="E55" s="40" t="inlineStr">
        <is>
          <t>Civil</t>
        </is>
      </c>
      <c r="F55" s="40" t="inlineStr">
        <is>
          <t>Saber</t>
        </is>
      </c>
      <c r="G55" s="38" t="inlineStr">
        <is>
          <t>Vertebral</t>
        </is>
      </c>
      <c r="H55" s="40" t="inlineStr">
        <is>
          <t>Saber</t>
        </is>
      </c>
      <c r="I55" s="40" t="inlineStr">
        <is>
          <t>Tecnología</t>
        </is>
      </c>
      <c r="J55" s="40" t="inlineStr">
        <is>
          <t>Cambiar de especialización cuesta 1 de producción menos.</t>
        </is>
      </c>
      <c r="K55" s="40" t="inlineStr">
        <is>
          <t>Escritura (T052)</t>
        </is>
      </c>
      <c r="L55" s="41">
        <f>IF(C55=1,0,CHOOSE(C55-1,Reglas!$C$6,Reglas!$C$7,Reglas!$C$8,Reglas!$C$9))</f>
        <v/>
      </c>
      <c r="M55" s="41" t="inlineStr">
        <is>
          <t>Mía</t>
        </is>
      </c>
      <c r="N55" s="41" t="n">
        <v>3</v>
      </c>
      <c r="O55" s="41" t="inlineStr">
        <is>
          <t>Bajo</t>
        </is>
      </c>
      <c r="P55" s="40" t="inlineStr">
        <is>
          <t>Útil si se pasa de un oficio a otro con frecuencia; pesa poco al inicio.</t>
        </is>
      </c>
      <c r="Q55" s="41" t="n"/>
    </row>
    <row r="56" ht="23.25" customHeight="1" s="27">
      <c r="A56" s="38" t="inlineStr">
        <is>
          <t>T055</t>
        </is>
      </c>
      <c r="B56" s="39" t="inlineStr">
        <is>
          <t>Intercambio académico</t>
        </is>
      </c>
      <c r="C56" s="38" t="n">
        <v>3</v>
      </c>
      <c r="D56" s="38">
        <f>IF(Q56="Sí",0,C56*Reglas!$C$5)</f>
        <v/>
      </c>
      <c r="E56" s="40" t="inlineStr">
        <is>
          <t>Civil</t>
        </is>
      </c>
      <c r="F56" s="40" t="inlineStr">
        <is>
          <t>Saber</t>
        </is>
      </c>
      <c r="G56" s="38" t="inlineStr">
        <is>
          <t>Vertebral</t>
        </is>
      </c>
      <c r="H56" s="40" t="inlineStr">
        <is>
          <t>Saber</t>
        </is>
      </c>
      <c r="I56" s="40" t="inlineStr">
        <is>
          <t>Tecnología</t>
        </is>
      </c>
      <c r="J56" s="40" t="inlineStr">
        <is>
          <t>Cuando compartes una tecnología con un vecino, recibes +10 de tecnología.</t>
        </is>
      </c>
      <c r="K56" s="40" t="inlineStr">
        <is>
          <t>Escuelas (T054)</t>
        </is>
      </c>
      <c r="L56" s="41">
        <f>IF(C56=1,0,CHOOSE(C56-1,Reglas!$C$6,Reglas!$C$7,Reglas!$C$8,Reglas!$C$9))</f>
        <v/>
      </c>
      <c r="M56" s="41" t="inlineStr">
        <is>
          <t>Mía</t>
        </is>
      </c>
      <c r="N56" s="41" t="n">
        <v>3</v>
      </c>
      <c r="O56" s="41" t="inlineStr">
        <is>
          <t>Bajo</t>
        </is>
      </c>
      <c r="P56" s="40" t="inlineStr">
        <is>
          <t>Premia la cooperación; puede acelerar la tecnología si se abusa.</t>
        </is>
      </c>
      <c r="Q56" s="41" t="n"/>
    </row>
    <row r="57" ht="23.25" customHeight="1" s="27">
      <c r="A57" s="38" t="inlineStr">
        <is>
          <t>T056</t>
        </is>
      </c>
      <c r="B57" s="39" t="inlineStr">
        <is>
          <t>Universidades</t>
        </is>
      </c>
      <c r="C57" s="38" t="n">
        <v>4</v>
      </c>
      <c r="D57" s="38">
        <f>IF(Q57="Sí",0,C57*Reglas!$C$5)</f>
        <v/>
      </c>
      <c r="E57" s="40" t="inlineStr">
        <is>
          <t>Civil</t>
        </is>
      </c>
      <c r="F57" s="40" t="inlineStr">
        <is>
          <t>Saber</t>
        </is>
      </c>
      <c r="G57" s="38" t="inlineStr">
        <is>
          <t>Vertebral</t>
        </is>
      </c>
      <c r="H57" s="40" t="inlineStr">
        <is>
          <t>Zonas</t>
        </is>
      </c>
      <c r="I57" s="40" t="inlineStr">
        <is>
          <t>Zona especializada</t>
        </is>
      </c>
      <c r="J57" s="40" t="inlineStr">
        <is>
          <t>Desbloquea la zona de tecnología nivel 3 (12 de tecnología de zona).</t>
        </is>
      </c>
      <c r="K57" s="40" t="inlineStr">
        <is>
          <t>Academias (T053); Escuelas (T054)</t>
        </is>
      </c>
      <c r="L57" s="41">
        <f>IF(C57=1,0,CHOOSE(C57-1,Reglas!$C$6,Reglas!$C$7,Reglas!$C$8,Reglas!$C$9))</f>
        <v/>
      </c>
      <c r="M57" s="41" t="inlineStr">
        <is>
          <t>Mía</t>
        </is>
      </c>
      <c r="N57" s="41" t="n">
        <v>4</v>
      </c>
      <c r="O57" s="41" t="inlineStr">
        <is>
          <t>Bajo</t>
        </is>
      </c>
      <c r="P57" s="40" t="inlineStr">
        <is>
          <t>Acelera el árbol; tener cuidado con la victoria tecnológica.</t>
        </is>
      </c>
      <c r="Q57" s="41" t="n"/>
    </row>
    <row r="58" ht="23.25" customHeight="1" s="27">
      <c r="A58" s="38" t="inlineStr">
        <is>
          <t>T057</t>
        </is>
      </c>
      <c r="B58" s="39" t="inlineStr">
        <is>
          <t>Método científico</t>
        </is>
      </c>
      <c r="C58" s="38" t="n">
        <v>4</v>
      </c>
      <c r="D58" s="38">
        <f>IF(Q58="Sí",0,C58*Reglas!$C$5)</f>
        <v/>
      </c>
      <c r="E58" s="40" t="inlineStr">
        <is>
          <t>Civil</t>
        </is>
      </c>
      <c r="F58" s="40" t="inlineStr">
        <is>
          <t>Saber</t>
        </is>
      </c>
      <c r="G58" s="38" t="inlineStr">
        <is>
          <t>Vertebral</t>
        </is>
      </c>
      <c r="H58" s="40" t="inlineStr">
        <is>
          <t>Saber</t>
        </is>
      </c>
      <c r="I58" s="40" t="inlineStr">
        <is>
          <t>Tecnología</t>
        </is>
      </c>
      <c r="J58" s="40" t="inlineStr">
        <is>
          <t>+1 de tecnología por científico (se suma a Escritura).</t>
        </is>
      </c>
      <c r="K58" s="40" t="inlineStr">
        <is>
          <t>Escuelas (T054); Intercambio académico (T055)</t>
        </is>
      </c>
      <c r="L58" s="41">
        <f>IF(C58=1,0,CHOOSE(C58-1,Reglas!$C$6,Reglas!$C$7,Reglas!$C$8,Reglas!$C$9))</f>
        <v/>
      </c>
      <c r="M58" s="41" t="inlineStr">
        <is>
          <t>Mía</t>
        </is>
      </c>
      <c r="N58" s="41" t="n">
        <v>4</v>
      </c>
      <c r="O58" s="41" t="inlineStr">
        <is>
          <t>Bajo</t>
        </is>
      </c>
      <c r="P58" s="40" t="inlineStr">
        <is>
          <t>Bono continuo que empuja hacia el árbol completo.</t>
        </is>
      </c>
      <c r="Q58" s="41" t="n"/>
    </row>
    <row r="59" ht="23.25" customHeight="1" s="27">
      <c r="A59" s="38" t="inlineStr">
        <is>
          <t>T058</t>
        </is>
      </c>
      <c r="B59" s="39" t="inlineStr">
        <is>
          <t>Enciclopedia</t>
        </is>
      </c>
      <c r="C59" s="38" t="n">
        <v>5</v>
      </c>
      <c r="D59" s="38">
        <f>IF(Q59="Sí",0,C59*Reglas!$C$5)</f>
        <v/>
      </c>
      <c r="E59" s="40" t="inlineStr">
        <is>
          <t>Civil</t>
        </is>
      </c>
      <c r="F59" s="40" t="inlineStr">
        <is>
          <t>Saber</t>
        </is>
      </c>
      <c r="G59" s="38" t="inlineStr">
        <is>
          <t>Vertebral</t>
        </is>
      </c>
      <c r="H59" s="40" t="inlineStr">
        <is>
          <t>Saber</t>
        </is>
      </c>
      <c r="I59" s="40" t="inlineStr">
        <is>
          <t>Meta (reglas de tecnología)</t>
        </is>
      </c>
      <c r="J59" s="40" t="inlineStr">
        <is>
          <t>Desbloquea La Torre de los Sabios, la maravilla de Saber (única en la partida): cada científico genera o usa 3 en vez de 2 mientras controles su zona. Solo se puede investigar si nadie la ha construido.</t>
        </is>
      </c>
      <c r="K59" s="40" t="inlineStr">
        <is>
          <t>Método científico (T057); Universidades (T056)</t>
        </is>
      </c>
      <c r="L59" s="41">
        <f>IF(C59=1,0,CHOOSE(C59-1,Reglas!$C$6,Reglas!$C$7,Reglas!$C$8,Reglas!$C$9))</f>
        <v/>
      </c>
      <c r="M59" s="41" t="inlineStr">
        <is>
          <t>Mía</t>
        </is>
      </c>
      <c r="N59" s="41" t="n">
        <v>3</v>
      </c>
      <c r="O59" s="41" t="inlineStr">
        <is>
          <t>Medio</t>
        </is>
      </c>
      <c r="P59" s="40" t="inlineStr">
        <is>
          <t>Por sí sola no da su efecto: lo da la maravilla. Si otro la termina antes, pierdes la obra y recuperas la mitad de la producción, pero conservas la tecnología (cuenta para la victoria tecnológica).</t>
        </is>
      </c>
      <c r="Q59" s="41" t="n"/>
    </row>
    <row r="60" ht="15" customHeight="1" s="27">
      <c r="A60" s="41" t="inlineStr">
        <is>
          <t>T059</t>
        </is>
      </c>
      <c r="B60" s="42" t="inlineStr">
        <is>
          <t>Bibliotecas</t>
        </is>
      </c>
      <c r="C60" s="41" t="n">
        <v>1</v>
      </c>
      <c r="D60" s="41">
        <f>IF(Q60="Sí",0,C60*Reglas!$C$5)</f>
        <v/>
      </c>
      <c r="E60" s="40" t="inlineStr">
        <is>
          <t>Construcción</t>
        </is>
      </c>
      <c r="F60" s="40" t="inlineStr">
        <is>
          <t>Saber</t>
        </is>
      </c>
      <c r="G60" s="41" t="inlineStr">
        <is>
          <t>Opcional</t>
        </is>
      </c>
      <c r="H60" s="40" t="inlineStr">
        <is>
          <t>Biblioteca</t>
        </is>
      </c>
      <c r="I60" s="40" t="inlineStr">
        <is>
          <t>Desbloqueo de edificio</t>
        </is>
      </c>
      <c r="J60" s="40" t="inlineStr">
        <is>
          <t>Permite construir la Biblioteca: +1 de tecnología por trabajador.</t>
        </is>
      </c>
      <c r="K60" s="40" t="inlineStr">
        <is>
          <t>—</t>
        </is>
      </c>
      <c r="L60" s="41">
        <f>IF(C60=1,0,CHOOSE(C60-1,Reglas!$C$6,Reglas!$C$7,Reglas!$C$8,Reglas!$C$9))</f>
        <v/>
      </c>
      <c r="M60" s="41" t="inlineStr">
        <is>
          <t>Tuya</t>
        </is>
      </c>
      <c r="N60" s="41" t="n">
        <v>5</v>
      </c>
      <c r="O60" s="41" t="inlineStr">
        <is>
          <t>Bajo</t>
        </is>
      </c>
      <c r="P60" s="40" t="inlineStr">
        <is>
          <t>Hace que la tecnología no dependa solo de los científicos de la capital.</t>
        </is>
      </c>
      <c r="Q60" s="41" t="inlineStr">
        <is>
          <t>Sí</t>
        </is>
      </c>
    </row>
    <row r="61" ht="15" customHeight="1" s="27">
      <c r="A61" s="41" t="inlineStr">
        <is>
          <t>T060</t>
        </is>
      </c>
      <c r="B61" s="42" t="inlineStr">
        <is>
          <t>Scriptorium</t>
        </is>
      </c>
      <c r="C61" s="41" t="n">
        <v>2</v>
      </c>
      <c r="D61" s="41">
        <f>IF(Q61="Sí",0,C61*Reglas!$C$5)</f>
        <v/>
      </c>
      <c r="E61" s="40" t="inlineStr">
        <is>
          <t>Construcción</t>
        </is>
      </c>
      <c r="F61" s="40" t="inlineStr">
        <is>
          <t>Saber</t>
        </is>
      </c>
      <c r="G61" s="41" t="inlineStr">
        <is>
          <t>Opcional</t>
        </is>
      </c>
      <c r="H61" s="40" t="inlineStr">
        <is>
          <t>Biblioteca</t>
        </is>
      </c>
      <c r="I61" s="40" t="inlineStr">
        <is>
          <t>Mejora de edificio</t>
        </is>
      </c>
      <c r="J61" s="40" t="inlineStr">
        <is>
          <t>La Biblioteca da +2 de tecnología por trabajador (reemplaza al +1).</t>
        </is>
      </c>
      <c r="K61" s="40" t="inlineStr">
        <is>
          <t>Bibliotecas (T059)</t>
        </is>
      </c>
      <c r="L61" s="41">
        <f>IF(C61=1,0,CHOOSE(C61-1,Reglas!$C$6,Reglas!$C$7,Reglas!$C$8,Reglas!$C$9))</f>
        <v/>
      </c>
      <c r="M61" s="41" t="inlineStr">
        <is>
          <t>Mía</t>
        </is>
      </c>
      <c r="N61" s="41" t="n">
        <v>4</v>
      </c>
      <c r="O61" s="41" t="inlineStr">
        <is>
          <t>Bajo</t>
        </is>
      </c>
      <c r="P61" s="40" t="inlineStr">
        <is>
          <t>Escala bien con los trabajadores extra.</t>
        </is>
      </c>
      <c r="Q61" s="41" t="n"/>
    </row>
    <row r="62" ht="15" customHeight="1" s="27">
      <c r="A62" s="41" t="inlineStr">
        <is>
          <t>T061</t>
        </is>
      </c>
      <c r="B62" s="42" t="inlineStr">
        <is>
          <t>Calendario</t>
        </is>
      </c>
      <c r="C62" s="41" t="n">
        <v>2</v>
      </c>
      <c r="D62" s="41">
        <f>IF(Q62="Sí",0,C62*Reglas!$C$5)</f>
        <v/>
      </c>
      <c r="E62" s="40" t="inlineStr">
        <is>
          <t>Civil</t>
        </is>
      </c>
      <c r="F62" s="40" t="inlineStr">
        <is>
          <t>Saber</t>
        </is>
      </c>
      <c r="G62" s="41" t="inlineStr">
        <is>
          <t>Opcional</t>
        </is>
      </c>
      <c r="H62" s="40" t="inlineStr">
        <is>
          <t>Saber</t>
        </is>
      </c>
      <c r="I62" s="40" t="inlineStr">
        <is>
          <t>Eventos</t>
        </is>
      </c>
      <c r="J62" s="40" t="inlineStr">
        <is>
          <t>Los eventos se ven con 3 rondas de anticipación (en vez de 2).</t>
        </is>
      </c>
      <c r="K62" s="40" t="inlineStr">
        <is>
          <t>Escritura (T052)</t>
        </is>
      </c>
      <c r="L62" s="41">
        <f>IF(C62=1,0,CHOOSE(C62-1,Reglas!$C$6,Reglas!$C$7,Reglas!$C$8,Reglas!$C$9))</f>
        <v/>
      </c>
      <c r="M62" s="41" t="inlineStr">
        <is>
          <t>Mía</t>
        </is>
      </c>
      <c r="N62" s="41" t="n">
        <v>4</v>
      </c>
      <c r="O62" s="41" t="inlineStr">
        <is>
          <t>Bajo</t>
        </is>
      </c>
      <c r="P62" s="40" t="inlineStr">
        <is>
          <t>Pequeño pero útil para planificar.</t>
        </is>
      </c>
      <c r="Q62" s="41" t="n"/>
    </row>
    <row r="63" ht="34.5" customHeight="1" s="27">
      <c r="A63" s="41" t="inlineStr">
        <is>
          <t>T062</t>
        </is>
      </c>
      <c r="B63" s="42" t="inlineStr">
        <is>
          <t>Biblioteca abierta</t>
        </is>
      </c>
      <c r="C63" s="41" t="n">
        <v>3</v>
      </c>
      <c r="D63" s="41">
        <f>IF(Q63="Sí",0,C63*Reglas!$C$5)</f>
        <v/>
      </c>
      <c r="E63" s="40" t="inlineStr">
        <is>
          <t>Construcción</t>
        </is>
      </c>
      <c r="F63" s="40" t="inlineStr">
        <is>
          <t>Saber</t>
        </is>
      </c>
      <c r="G63" s="41" t="inlineStr">
        <is>
          <t>Opcional</t>
        </is>
      </c>
      <c r="H63" s="40" t="inlineStr">
        <is>
          <t>Biblioteca</t>
        </is>
      </c>
      <c r="I63" s="40" t="inlineStr">
        <is>
          <t>Especialización de edificio</t>
        </is>
      </c>
      <c r="J63" s="40" t="inlineStr">
        <is>
          <t>Esp.: las tecnologías que compartes desde esta zona cuestan 1/4 (en vez de la mitad) al vecino, y tú recibes +5 de tecnología por cada una.</t>
        </is>
      </c>
      <c r="K63" s="40" t="inlineStr">
        <is>
          <t>Scriptorium (T060)</t>
        </is>
      </c>
      <c r="L63" s="41">
        <f>IF(C63=1,0,CHOOSE(C63-1,Reglas!$C$6,Reglas!$C$7,Reglas!$C$8,Reglas!$C$9))</f>
        <v/>
      </c>
      <c r="M63" s="41" t="inlineStr">
        <is>
          <t>Mía</t>
        </is>
      </c>
      <c r="N63" s="41" t="n">
        <v>3</v>
      </c>
      <c r="O63" s="41" t="inlineStr">
        <is>
          <t>Bajo</t>
        </is>
      </c>
      <c r="P63" s="40" t="inlineStr">
        <is>
          <t>Fomenta el intercambio. Con vecinos amigos puede acelerar demasiado la victoria tecnológica.</t>
        </is>
      </c>
      <c r="Q63" s="41" t="n"/>
    </row>
    <row r="64" ht="23.25" customHeight="1" s="27">
      <c r="A64" s="41" t="inlineStr">
        <is>
          <t>T063</t>
        </is>
      </c>
      <c r="B64" s="42" t="inlineStr">
        <is>
          <t>Espionaje científico</t>
        </is>
      </c>
      <c r="C64" s="41" t="n">
        <v>3</v>
      </c>
      <c r="D64" s="41">
        <f>IF(Q64="Sí",0,C64*Reglas!$C$5)</f>
        <v/>
      </c>
      <c r="E64" s="40" t="inlineStr">
        <is>
          <t>Civil</t>
        </is>
      </c>
      <c r="F64" s="40" t="inlineStr">
        <is>
          <t>Saber</t>
        </is>
      </c>
      <c r="G64" s="41" t="inlineStr">
        <is>
          <t>Opcional</t>
        </is>
      </c>
      <c r="H64" s="40" t="inlineStr">
        <is>
          <t>Saber</t>
        </is>
      </c>
      <c r="I64" s="40" t="inlineStr">
        <is>
          <t>Información</t>
        </is>
      </c>
      <c r="J64" s="40" t="inlineStr">
        <is>
          <t>Ves las tecnologías de todos los jugadores.</t>
        </is>
      </c>
      <c r="K64" s="40" t="inlineStr">
        <is>
          <t>Escuelas (T054)</t>
        </is>
      </c>
      <c r="L64" s="41">
        <f>IF(C64=1,0,CHOOSE(C64-1,Reglas!$C$6,Reglas!$C$7,Reglas!$C$8,Reglas!$C$9))</f>
        <v/>
      </c>
      <c r="M64" s="41" t="inlineStr">
        <is>
          <t>Mía</t>
        </is>
      </c>
      <c r="N64" s="41" t="n">
        <v>3</v>
      </c>
      <c r="O64" s="41" t="inlineStr">
        <is>
          <t>Bajo</t>
        </is>
      </c>
      <c r="P64" s="40" t="inlineStr">
        <is>
          <t>Información sin poder directo; útil para reaccionar a quien va por la victoria tecnológica.</t>
        </is>
      </c>
      <c r="Q64" s="41" t="n"/>
    </row>
    <row r="65" ht="23.25" customHeight="1" s="27">
      <c r="A65" s="41" t="inlineStr">
        <is>
          <t>T064</t>
        </is>
      </c>
      <c r="B65" s="42" t="inlineStr">
        <is>
          <t>Atajo del sabio</t>
        </is>
      </c>
      <c r="C65" s="41" t="n">
        <v>3</v>
      </c>
      <c r="D65" s="41">
        <f>IF(Q65="Sí",0,C65*Reglas!$C$5)</f>
        <v/>
      </c>
      <c r="E65" s="40" t="inlineStr">
        <is>
          <t>Civil</t>
        </is>
      </c>
      <c r="F65" s="40" t="inlineStr">
        <is>
          <t>Saber</t>
        </is>
      </c>
      <c r="G65" s="41" t="inlineStr">
        <is>
          <t>Opcional</t>
        </is>
      </c>
      <c r="H65" s="40" t="inlineStr">
        <is>
          <t>Saber</t>
        </is>
      </c>
      <c r="I65" s="40" t="inlineStr">
        <is>
          <t>Meta (reglas de tecnología)</t>
        </is>
      </c>
      <c r="J65" s="40" t="inlineStr">
        <is>
          <t>Una vez por partida, puedes investigar una tecnología sin cumplir el mínimo de tecnologías del nivel anterior.</t>
        </is>
      </c>
      <c r="K65" s="40" t="inlineStr">
        <is>
          <t>Escuelas (T054); Calendario (T061)</t>
        </is>
      </c>
      <c r="L65" s="41">
        <f>IF(C65=1,0,CHOOSE(C65-1,Reglas!$C$6,Reglas!$C$7,Reglas!$C$8,Reglas!$C$9))</f>
        <v/>
      </c>
      <c r="M65" s="41" t="inlineStr">
        <is>
          <t>Mía</t>
        </is>
      </c>
      <c r="N65" s="41" t="n">
        <v>3</v>
      </c>
      <c r="O65" s="41" t="inlineStr">
        <is>
          <t>Medio</t>
        </is>
      </c>
      <c r="P65" s="40" t="inlineStr">
        <is>
          <t>Es un comodín divertido. Cuidado con abrir un camino demasiado corto a las tecnologías de nivel 5.</t>
        </is>
      </c>
      <c r="Q65" s="41" t="n"/>
    </row>
    <row r="66" ht="23.25" customHeight="1" s="27">
      <c r="A66" s="41" t="inlineStr">
        <is>
          <t>T065</t>
        </is>
      </c>
      <c r="B66" s="42" t="inlineStr">
        <is>
          <t>Observatorios</t>
        </is>
      </c>
      <c r="C66" s="41" t="n">
        <v>3</v>
      </c>
      <c r="D66" s="41">
        <f>IF(Q66="Sí",0,C66*Reglas!$C$5)</f>
        <v/>
      </c>
      <c r="E66" s="40" t="inlineStr">
        <is>
          <t>Civil</t>
        </is>
      </c>
      <c r="F66" s="40" t="inlineStr">
        <is>
          <t>Saber</t>
        </is>
      </c>
      <c r="G66" s="41" t="inlineStr">
        <is>
          <t>Opcional</t>
        </is>
      </c>
      <c r="H66" s="40" t="inlineStr">
        <is>
          <t>Terreno y eventos</t>
        </is>
      </c>
      <c r="I66" s="40" t="inlineStr">
        <is>
          <t>Terreno</t>
        </is>
      </c>
      <c r="J66" s="40" t="inlineStr">
        <is>
          <t>En Llanuras, los científicos generan +1 de tecnología adicional.</t>
        </is>
      </c>
      <c r="K66" s="40" t="inlineStr">
        <is>
          <t>Escritura (T052)</t>
        </is>
      </c>
      <c r="L66" s="41">
        <f>IF(C66=1,0,CHOOSE(C66-1,Reglas!$C$6,Reglas!$C$7,Reglas!$C$8,Reglas!$C$9))</f>
        <v/>
      </c>
      <c r="M66" s="41" t="inlineStr">
        <is>
          <t>Mía</t>
        </is>
      </c>
      <c r="N66" s="41" t="n">
        <v>3</v>
      </c>
      <c r="O66" s="41" t="inlineStr">
        <is>
          <t>Alto</t>
        </is>
      </c>
      <c r="P66" s="40" t="inlineStr">
        <is>
          <t>Sumada al bono natural de las Llanuras, los científicos generan +2 de tecnología. Es la forma más directa de acelerar el árbol: vigilar.</t>
        </is>
      </c>
      <c r="Q66" s="41" t="n"/>
    </row>
    <row r="67" ht="23.25" customHeight="1" s="27">
      <c r="A67" s="41" t="inlineStr">
        <is>
          <t>T066</t>
        </is>
      </c>
      <c r="B67" s="42" t="inlineStr">
        <is>
          <t>Reservas de emergencia</t>
        </is>
      </c>
      <c r="C67" s="41" t="n">
        <v>3</v>
      </c>
      <c r="D67" s="41">
        <f>IF(Q67="Sí",0,C67*Reglas!$C$5)</f>
        <v/>
      </c>
      <c r="E67" s="40" t="inlineStr">
        <is>
          <t>Civil</t>
        </is>
      </c>
      <c r="F67" s="40" t="inlineStr">
        <is>
          <t>Saber</t>
        </is>
      </c>
      <c r="G67" s="41" t="inlineStr">
        <is>
          <t>Opcional</t>
        </is>
      </c>
      <c r="H67" s="40" t="inlineStr">
        <is>
          <t>Terreno y eventos</t>
        </is>
      </c>
      <c r="I67" s="40" t="inlineStr">
        <is>
          <t>Eventos</t>
        </is>
      </c>
      <c r="J67" s="40" t="inlineStr">
        <is>
          <t>Los eventos negativos que aumentan el consumo afectan un 25% menos.</t>
        </is>
      </c>
      <c r="K67" s="40" t="inlineStr">
        <is>
          <t>Calendario (T061)</t>
        </is>
      </c>
      <c r="L67" s="41">
        <f>IF(C67=1,0,CHOOSE(C67-1,Reglas!$C$6,Reglas!$C$7,Reglas!$C$8,Reglas!$C$9))</f>
        <v/>
      </c>
      <c r="M67" s="41" t="inlineStr">
        <is>
          <t>Mía</t>
        </is>
      </c>
      <c r="N67" s="41" t="n">
        <v>3</v>
      </c>
      <c r="O67" s="41" t="inlineStr">
        <is>
          <t>Bajo</t>
        </is>
      </c>
      <c r="P67" s="40" t="inlineStr">
        <is>
          <t>Seguro pequeño; depende de la lista de eventos.</t>
        </is>
      </c>
      <c r="Q67" s="41" t="n"/>
    </row>
    <row r="68" ht="15" customHeight="1" s="27">
      <c r="A68" s="41" t="inlineStr">
        <is>
          <t>T067</t>
        </is>
      </c>
      <c r="B68" s="42" t="inlineStr">
        <is>
          <t>Archivo</t>
        </is>
      </c>
      <c r="C68" s="41" t="n">
        <v>4</v>
      </c>
      <c r="D68" s="41">
        <f>IF(Q68="Sí",0,C68*Reglas!$C$5)</f>
        <v/>
      </c>
      <c r="E68" s="40" t="inlineStr">
        <is>
          <t>Construcción</t>
        </is>
      </c>
      <c r="F68" s="40" t="inlineStr">
        <is>
          <t>Saber</t>
        </is>
      </c>
      <c r="G68" s="41" t="inlineStr">
        <is>
          <t>Opcional</t>
        </is>
      </c>
      <c r="H68" s="40" t="inlineStr">
        <is>
          <t>Biblioteca</t>
        </is>
      </c>
      <c r="I68" s="40" t="inlineStr">
        <is>
          <t>Mejora de edificio</t>
        </is>
      </c>
      <c r="J68" s="40" t="inlineStr">
        <is>
          <t>La Biblioteca da +3 de tecnología por trabajador.</t>
        </is>
      </c>
      <c r="K68" s="40" t="inlineStr">
        <is>
          <t>Biblioteca abierta (T062)</t>
        </is>
      </c>
      <c r="L68" s="41">
        <f>IF(C68=1,0,CHOOSE(C68-1,Reglas!$C$6,Reglas!$C$7,Reglas!$C$8,Reglas!$C$9))</f>
        <v/>
      </c>
      <c r="M68" s="41" t="inlineStr">
        <is>
          <t>Mía</t>
        </is>
      </c>
      <c r="N68" s="41" t="n">
        <v>4</v>
      </c>
      <c r="O68" s="41" t="inlineStr">
        <is>
          <t>Medio</t>
        </is>
      </c>
      <c r="P68" s="40" t="inlineStr">
        <is>
          <t>Empuja hacia las 5 tecnologías de nivel 5.</t>
        </is>
      </c>
      <c r="Q68" s="41" t="n"/>
    </row>
    <row r="69" ht="15" customHeight="1" s="27">
      <c r="A69" s="41" t="inlineStr">
        <is>
          <t>T068</t>
        </is>
      </c>
      <c r="B69" s="42" t="inlineStr">
        <is>
          <t>Astronomía</t>
        </is>
      </c>
      <c r="C69" s="41" t="n">
        <v>4</v>
      </c>
      <c r="D69" s="41">
        <f>IF(Q69="Sí",0,C69*Reglas!$C$5)</f>
        <v/>
      </c>
      <c r="E69" s="40" t="inlineStr">
        <is>
          <t>Civil</t>
        </is>
      </c>
      <c r="F69" s="40" t="inlineStr">
        <is>
          <t>Saber</t>
        </is>
      </c>
      <c r="G69" s="41" t="inlineStr">
        <is>
          <t>Opcional</t>
        </is>
      </c>
      <c r="H69" s="40" t="inlineStr">
        <is>
          <t>Saber</t>
        </is>
      </c>
      <c r="I69" s="40" t="inlineStr">
        <is>
          <t>Eventos</t>
        </is>
      </c>
      <c r="J69" s="40" t="inlineStr">
        <is>
          <t>Los eventos se ven con 5 rondas de anticipación.</t>
        </is>
      </c>
      <c r="K69" s="40" t="inlineStr">
        <is>
          <t>Calendario (T061)</t>
        </is>
      </c>
      <c r="L69" s="41">
        <f>IF(C69=1,0,CHOOSE(C69-1,Reglas!$C$6,Reglas!$C$7,Reglas!$C$8,Reglas!$C$9))</f>
        <v/>
      </c>
      <c r="M69" s="41" t="inlineStr">
        <is>
          <t>Mía</t>
        </is>
      </c>
      <c r="N69" s="41" t="n">
        <v>4</v>
      </c>
      <c r="O69" s="41" t="inlineStr">
        <is>
          <t>Bajo</t>
        </is>
      </c>
      <c r="P69" s="40" t="inlineStr">
        <is>
          <t>Gran herramienta para planificar y evitar eventos negativos.</t>
        </is>
      </c>
      <c r="Q69" s="41" t="n"/>
    </row>
    <row r="70" ht="23.25" customHeight="1" s="27">
      <c r="A70" s="41" t="inlineStr">
        <is>
          <t>T069</t>
        </is>
      </c>
      <c r="B70" s="42" t="inlineStr">
        <is>
          <t>Fortuna del temerario</t>
        </is>
      </c>
      <c r="C70" s="41" t="n">
        <v>4</v>
      </c>
      <c r="D70" s="41">
        <f>IF(Q70="Sí",0,C70*Reglas!$C$5)</f>
        <v/>
      </c>
      <c r="E70" s="40" t="inlineStr">
        <is>
          <t>Civil</t>
        </is>
      </c>
      <c r="F70" s="40" t="inlineStr">
        <is>
          <t>Saber</t>
        </is>
      </c>
      <c r="G70" s="41" t="inlineStr">
        <is>
          <t>Opcional</t>
        </is>
      </c>
      <c r="H70" s="40" t="inlineStr">
        <is>
          <t>Terreno y eventos</t>
        </is>
      </c>
      <c r="I70" s="40" t="inlineStr">
        <is>
          <t>Eventos</t>
        </is>
      </c>
      <c r="J70" s="40" t="inlineStr">
        <is>
          <t>Los efectos positivos de eventos en zonas riesgosas son un 25% mejores.</t>
        </is>
      </c>
      <c r="K70" s="40" t="inlineStr">
        <is>
          <t>Reservas de emergencia (T066)</t>
        </is>
      </c>
      <c r="L70" s="41">
        <f>IF(C70=1,0,CHOOSE(C70-1,Reglas!$C$6,Reglas!$C$7,Reglas!$C$8,Reglas!$C$9))</f>
        <v/>
      </c>
      <c r="M70" s="41" t="inlineStr">
        <is>
          <t>Mía</t>
        </is>
      </c>
      <c r="N70" s="41" t="n">
        <v>3</v>
      </c>
      <c r="O70" s="41" t="inlineStr">
        <is>
          <t>Bajo</t>
        </is>
      </c>
      <c r="P70" s="40" t="inlineStr">
        <is>
          <t>Premia jugar en terrenos difíciles. Falta definir cuáles son riesgosos.</t>
        </is>
      </c>
      <c r="Q70" s="41" t="n"/>
    </row>
    <row r="71" ht="15" customHeight="1" s="27">
      <c r="A71" s="41" t="inlineStr">
        <is>
          <t>T070</t>
        </is>
      </c>
      <c r="B71" s="42" t="inlineStr">
        <is>
          <t>Resistencia climática</t>
        </is>
      </c>
      <c r="C71" s="41" t="n">
        <v>4</v>
      </c>
      <c r="D71" s="41">
        <f>IF(Q71="Sí",0,C71*Reglas!$C$5)</f>
        <v/>
      </c>
      <c r="E71" s="40" t="inlineStr">
        <is>
          <t>Civil</t>
        </is>
      </c>
      <c r="F71" s="40" t="inlineStr">
        <is>
          <t>Saber</t>
        </is>
      </c>
      <c r="G71" s="41" t="inlineStr">
        <is>
          <t>Opcional</t>
        </is>
      </c>
      <c r="H71" s="40" t="inlineStr">
        <is>
          <t>Terreno y eventos</t>
        </is>
      </c>
      <c r="I71" s="40" t="inlineStr">
        <is>
          <t>Eventos</t>
        </is>
      </c>
      <c r="J71" s="40" t="inlineStr">
        <is>
          <t>Los eventos negativos afectan un 50% menos a tus zonas riesgosas.</t>
        </is>
      </c>
      <c r="K71" s="40" t="inlineStr">
        <is>
          <t>Reservas de emergencia (T066)</t>
        </is>
      </c>
      <c r="L71" s="41">
        <f>IF(C71=1,0,CHOOSE(C71-1,Reglas!$C$6,Reglas!$C$7,Reglas!$C$8,Reglas!$C$9))</f>
        <v/>
      </c>
      <c r="M71" s="41" t="inlineStr">
        <is>
          <t>Mía</t>
        </is>
      </c>
      <c r="N71" s="41" t="n">
        <v>3</v>
      </c>
      <c r="O71" s="41" t="inlineStr">
        <is>
          <t>Bajo</t>
        </is>
      </c>
      <c r="P71" s="40" t="inlineStr">
        <is>
          <t>Contrapeso al riesgo del terreno.</t>
        </is>
      </c>
      <c r="Q71" s="41" t="n"/>
    </row>
    <row r="72" ht="23.25" customHeight="1" s="27">
      <c r="A72" s="41" t="inlineStr">
        <is>
          <t>T071</t>
        </is>
      </c>
      <c r="B72" s="42" t="inlineStr">
        <is>
          <t>Gran biblioteca</t>
        </is>
      </c>
      <c r="C72" s="41" t="n">
        <v>5</v>
      </c>
      <c r="D72" s="41">
        <f>IF(Q72="Sí",0,C72*Reglas!$C$5)</f>
        <v/>
      </c>
      <c r="E72" s="40" t="inlineStr">
        <is>
          <t>Construcción</t>
        </is>
      </c>
      <c r="F72" s="40" t="inlineStr">
        <is>
          <t>Saber</t>
        </is>
      </c>
      <c r="G72" s="41" t="inlineStr">
        <is>
          <t>Opcional</t>
        </is>
      </c>
      <c r="H72" s="40" t="inlineStr">
        <is>
          <t>Biblioteca</t>
        </is>
      </c>
      <c r="I72" s="40" t="inlineStr">
        <is>
          <t>Mejora de edificio</t>
        </is>
      </c>
      <c r="J72" s="40" t="inlineStr">
        <is>
          <t>La Biblioteca da +5 de tecnología por trabajador.</t>
        </is>
      </c>
      <c r="K72" s="40" t="inlineStr">
        <is>
          <t>Archivo (T067)</t>
        </is>
      </c>
      <c r="L72" s="41">
        <f>IF(C72=1,0,CHOOSE(C72-1,Reglas!$C$6,Reglas!$C$7,Reglas!$C$8,Reglas!$C$9))</f>
        <v/>
      </c>
      <c r="M72" s="41" t="inlineStr">
        <is>
          <t>Mía</t>
        </is>
      </c>
      <c r="N72" s="41" t="n">
        <v>3</v>
      </c>
      <c r="O72" s="41" t="inlineStr">
        <is>
          <t>Alto</t>
        </is>
      </c>
      <c r="P72" s="40" t="inlineStr">
        <is>
          <t>Con 4 trabajadores son +20 de tecnología por paso. Con ese ritmo, el árbol completo se acorta mucho.</t>
        </is>
      </c>
      <c r="Q72" s="41" t="n"/>
    </row>
    <row r="73" ht="15" customHeight="1" s="27">
      <c r="A73" s="41" t="inlineStr">
        <is>
          <t>T072</t>
        </is>
      </c>
      <c r="B73" s="42" t="inlineStr">
        <is>
          <t>Pronóstico</t>
        </is>
      </c>
      <c r="C73" s="41" t="n">
        <v>5</v>
      </c>
      <c r="D73" s="41">
        <f>IF(Q73="Sí",0,C73*Reglas!$C$5)</f>
        <v/>
      </c>
      <c r="E73" s="40" t="inlineStr">
        <is>
          <t>Civil</t>
        </is>
      </c>
      <c r="F73" s="40" t="inlineStr">
        <is>
          <t>Saber</t>
        </is>
      </c>
      <c r="G73" s="41" t="inlineStr">
        <is>
          <t>Opcional</t>
        </is>
      </c>
      <c r="H73" s="40" t="inlineStr">
        <is>
          <t>Saber</t>
        </is>
      </c>
      <c r="I73" s="40" t="inlineStr">
        <is>
          <t>Eventos</t>
        </is>
      </c>
      <c r="J73" s="40" t="inlineStr">
        <is>
          <t>Una vez cada 10 rondas puedes evitar un evento negativo.</t>
        </is>
      </c>
      <c r="K73" s="40" t="inlineStr">
        <is>
          <t>Astronomía (T068)</t>
        </is>
      </c>
      <c r="L73" s="41">
        <f>IF(C73=1,0,CHOOSE(C73-1,Reglas!$C$6,Reglas!$C$7,Reglas!$C$8,Reglas!$C$9))</f>
        <v/>
      </c>
      <c r="M73" s="41" t="inlineStr">
        <is>
          <t>Mía</t>
        </is>
      </c>
      <c r="N73" s="41" t="n">
        <v>4</v>
      </c>
      <c r="O73" s="41" t="inlineStr">
        <is>
          <t>Bajo</t>
        </is>
      </c>
      <c r="P73" s="40" t="inlineStr">
        <is>
          <t>Poderosa, pero con límite de uso, lo que la hace justa.</t>
        </is>
      </c>
      <c r="Q73" s="41" t="n"/>
    </row>
    <row r="74" ht="23.25" customHeight="1" s="27">
      <c r="A74" s="38" t="inlineStr">
        <is>
          <t>T073</t>
        </is>
      </c>
      <c r="B74" s="39" t="inlineStr">
        <is>
          <t>Almacenes</t>
        </is>
      </c>
      <c r="C74" s="38" t="n">
        <v>1</v>
      </c>
      <c r="D74" s="38">
        <f>IF(Q74="Sí",0,C74*Reglas!$C$5)</f>
        <v/>
      </c>
      <c r="E74" s="40" t="inlineStr">
        <is>
          <t>Construcción</t>
        </is>
      </c>
      <c r="F74" s="40" t="inlineStr">
        <is>
          <t>Logística</t>
        </is>
      </c>
      <c r="G74" s="38" t="inlineStr">
        <is>
          <t>Vertebral</t>
        </is>
      </c>
      <c r="H74" s="40" t="inlineStr">
        <is>
          <t>Almacén</t>
        </is>
      </c>
      <c r="I74" s="40" t="inlineStr">
        <is>
          <t>Desbloqueo de edificio</t>
        </is>
      </c>
      <c r="J74" s="40" t="inlineStr">
        <is>
          <t>Permite construir el Almacén: +10 de capacidad de almacenamiento (comida y producción) por nivel del edificio.</t>
        </is>
      </c>
      <c r="K74" s="40" t="inlineStr">
        <is>
          <t>—</t>
        </is>
      </c>
      <c r="L74" s="41">
        <f>IF(C74=1,0,CHOOSE(C74-1,Reglas!$C$6,Reglas!$C$7,Reglas!$C$8,Reglas!$C$9))</f>
        <v/>
      </c>
      <c r="M74" s="41" t="inlineStr">
        <is>
          <t>Tuya</t>
        </is>
      </c>
      <c r="N74" s="41" t="n">
        <v>5</v>
      </c>
      <c r="O74" s="41" t="inlineStr">
        <is>
          <t>Bajo</t>
        </is>
      </c>
      <c r="P74" s="40" t="inlineStr">
        <is>
          <t>Base de toda la logística. Barata, clara y útil desde el primer paso.</t>
        </is>
      </c>
      <c r="Q74" s="41" t="inlineStr">
        <is>
          <t>Sí</t>
        </is>
      </c>
    </row>
    <row r="75" ht="23.25" customHeight="1" s="27">
      <c r="A75" s="38" t="inlineStr">
        <is>
          <t>T074</t>
        </is>
      </c>
      <c r="B75" s="39" t="inlineStr">
        <is>
          <t>Caminos</t>
        </is>
      </c>
      <c r="C75" s="38" t="n">
        <v>1</v>
      </c>
      <c r="D75" s="38">
        <f>IF(Q75="Sí",0,C75*Reglas!$C$5)</f>
        <v/>
      </c>
      <c r="E75" s="40" t="inlineStr">
        <is>
          <t>Construcción</t>
        </is>
      </c>
      <c r="F75" s="40" t="inlineStr">
        <is>
          <t>Logística</t>
        </is>
      </c>
      <c r="G75" s="38" t="inlineStr">
        <is>
          <t>Vertebral</t>
        </is>
      </c>
      <c r="H75" s="40" t="inlineStr">
        <is>
          <t>Camino</t>
        </is>
      </c>
      <c r="I75" s="40" t="inlineStr">
        <is>
          <t>Desbloqueo de edificio</t>
        </is>
      </c>
      <c r="J75" s="40" t="inlineStr">
        <is>
          <t>Permite construir el Camino: mover comida y producción desde o hacia la zona cuesta la mitad de oro (redondeando hacia arriba).</t>
        </is>
      </c>
      <c r="K75" s="40" t="inlineStr">
        <is>
          <t>—</t>
        </is>
      </c>
      <c r="L75" s="41">
        <f>IF(C75=1,0,CHOOSE(C75-1,Reglas!$C$6,Reglas!$C$7,Reglas!$C$8,Reglas!$C$9))</f>
        <v/>
      </c>
      <c r="M75" s="41" t="inlineStr">
        <is>
          <t>Tuya</t>
        </is>
      </c>
      <c r="N75" s="41" t="n">
        <v>5</v>
      </c>
      <c r="O75" s="41" t="inlineStr">
        <is>
          <t>Bajo</t>
        </is>
      </c>
      <c r="P75" s="40" t="inlineStr">
        <is>
          <t>Hace rentables las zonas lejanas. Imprescindible en mapas lentos como Fortaleza o Espiral.</t>
        </is>
      </c>
      <c r="Q75" s="41" t="inlineStr">
        <is>
          <t>Sí</t>
        </is>
      </c>
    </row>
    <row r="76" ht="23.25" customHeight="1" s="27">
      <c r="A76" s="38" t="inlineStr">
        <is>
          <t>T075</t>
        </is>
      </c>
      <c r="B76" s="39" t="inlineStr">
        <is>
          <t>Camino civil I</t>
        </is>
      </c>
      <c r="C76" s="38" t="n">
        <v>2</v>
      </c>
      <c r="D76" s="38">
        <f>IF(Q76="Sí",0,C76*Reglas!$C$5)</f>
        <v/>
      </c>
      <c r="E76" s="40" t="inlineStr">
        <is>
          <t>Construcción</t>
        </is>
      </c>
      <c r="F76" s="40" t="inlineStr">
        <is>
          <t>Logística</t>
        </is>
      </c>
      <c r="G76" s="38" t="inlineStr">
        <is>
          <t>Vertebral</t>
        </is>
      </c>
      <c r="H76" s="40" t="inlineStr">
        <is>
          <t>Camino</t>
        </is>
      </c>
      <c r="I76" s="40" t="inlineStr">
        <is>
          <t>Especialización de edificio</t>
        </is>
      </c>
      <c r="J76" s="40" t="inlineStr">
        <is>
          <t>Esp.: los civiles pueden moverse en una dirección de forma inmediata y, al llegar, producir, descansar, etc. en ese mismo paso.</t>
        </is>
      </c>
      <c r="K76" s="40" t="inlineStr">
        <is>
          <t>Caminos (T074)</t>
        </is>
      </c>
      <c r="L76" s="41">
        <f>IF(C76=1,0,CHOOSE(C76-1,Reglas!$C$6,Reglas!$C$7,Reglas!$C$8,Reglas!$C$9))</f>
        <v/>
      </c>
      <c r="M76" s="41" t="inlineStr">
        <is>
          <t>Tuya</t>
        </is>
      </c>
      <c r="N76" s="41" t="n">
        <v>4</v>
      </c>
      <c r="O76" s="41" t="inlineStr">
        <is>
          <t>Medio</t>
        </is>
      </c>
      <c r="P76" s="40" t="inlineStr">
        <is>
          <t>Muy fuerte: elimina el costo de 'no producir el paso en que te mueves'. Choca con la regla actual, así que hay que definirlo bien.</t>
        </is>
      </c>
      <c r="Q76" s="41" t="n"/>
    </row>
    <row r="77" ht="23.25" customHeight="1" s="27">
      <c r="A77" s="38" t="inlineStr">
        <is>
          <t>T076</t>
        </is>
      </c>
      <c r="B77" s="39" t="inlineStr">
        <is>
          <t>Red de caminos I</t>
        </is>
      </c>
      <c r="C77" s="38" t="n">
        <v>3</v>
      </c>
      <c r="D77" s="38">
        <f>IF(Q77="Sí",0,C77*Reglas!$C$5)</f>
        <v/>
      </c>
      <c r="E77" s="40" t="inlineStr">
        <is>
          <t>Construcción</t>
        </is>
      </c>
      <c r="F77" s="40" t="inlineStr">
        <is>
          <t>Logística</t>
        </is>
      </c>
      <c r="G77" s="38" t="inlineStr">
        <is>
          <t>Vertebral</t>
        </is>
      </c>
      <c r="H77" s="40" t="inlineStr">
        <is>
          <t>Camino</t>
        </is>
      </c>
      <c r="I77" s="40" t="inlineStr">
        <is>
          <t>Mejora de edificio</t>
        </is>
      </c>
      <c r="J77" s="40" t="inlineStr">
        <is>
          <t>Mover comida y producción que pase por esta zona cuesta 1/3 del total.</t>
        </is>
      </c>
      <c r="K77" s="40" t="inlineStr">
        <is>
          <t>Camino civil I (T075)</t>
        </is>
      </c>
      <c r="L77" s="41">
        <f>IF(C77=1,0,CHOOSE(C77-1,Reglas!$C$6,Reglas!$C$7,Reglas!$C$8,Reglas!$C$9))</f>
        <v/>
      </c>
      <c r="M77" s="41" t="inlineStr">
        <is>
          <t>Tuya</t>
        </is>
      </c>
      <c r="N77" s="41" t="n">
        <v>5</v>
      </c>
      <c r="O77" s="41" t="inlineStr">
        <is>
          <t>Medio</t>
        </is>
      </c>
      <c r="P77" s="40" t="inlineStr">
        <is>
          <t>Muy buena: hace casi gratuita la logística de una zona central y crea puntos estratégicos que todos querrán controlar.</t>
        </is>
      </c>
      <c r="Q77" s="41" t="n"/>
    </row>
    <row r="78" ht="23.25" customHeight="1" s="27">
      <c r="A78" s="38" t="inlineStr">
        <is>
          <t>T077</t>
        </is>
      </c>
      <c r="B78" s="39" t="inlineStr">
        <is>
          <t>Camino civil II</t>
        </is>
      </c>
      <c r="C78" s="38" t="n">
        <v>4</v>
      </c>
      <c r="D78" s="38">
        <f>IF(Q78="Sí",0,C78*Reglas!$C$5)</f>
        <v/>
      </c>
      <c r="E78" s="40" t="inlineStr">
        <is>
          <t>Construcción</t>
        </is>
      </c>
      <c r="F78" s="40" t="inlineStr">
        <is>
          <t>Logística</t>
        </is>
      </c>
      <c r="G78" s="38" t="inlineStr">
        <is>
          <t>Vertebral</t>
        </is>
      </c>
      <c r="H78" s="40" t="inlineStr">
        <is>
          <t>Camino</t>
        </is>
      </c>
      <c r="I78" s="40" t="inlineStr">
        <is>
          <t>Especialización de edificio</t>
        </is>
      </c>
      <c r="J78" s="40" t="inlineStr">
        <is>
          <t>Esp.: al moverse, cada civil puede llevar hasta 5 unidades en total de comida o producción.</t>
        </is>
      </c>
      <c r="K78" s="40" t="inlineStr">
        <is>
          <t>Camino civil I (T075); Red de caminos I (T076)</t>
        </is>
      </c>
      <c r="L78" s="41">
        <f>IF(C78=1,0,CHOOSE(C78-1,Reglas!$C$6,Reglas!$C$7,Reglas!$C$8,Reglas!$C$9))</f>
        <v/>
      </c>
      <c r="M78" s="41" t="inlineStr">
        <is>
          <t>Tuya</t>
        </is>
      </c>
      <c r="N78" s="41" t="n">
        <v>4</v>
      </c>
      <c r="O78" s="41" t="inlineStr">
        <is>
          <t>Medio</t>
        </is>
      </c>
      <c r="P78" s="40" t="inlineStr">
        <is>
          <t>Abre una logística alternativa sin pagar oro. Aclarar si el movimiento civil sigue siendo gratis y si el recurso llega en el mismo paso.</t>
        </is>
      </c>
      <c r="Q78" s="41" t="n"/>
    </row>
    <row r="79" ht="23.25" customHeight="1" s="27">
      <c r="A79" s="38" t="inlineStr">
        <is>
          <t>T078</t>
        </is>
      </c>
      <c r="B79" s="39" t="inlineStr">
        <is>
          <t>Red de caminos II</t>
        </is>
      </c>
      <c r="C79" s="38" t="n">
        <v>5</v>
      </c>
      <c r="D79" s="38">
        <f>IF(Q79="Sí",0,C79*Reglas!$C$5)</f>
        <v/>
      </c>
      <c r="E79" s="40" t="inlineStr">
        <is>
          <t>Construcción</t>
        </is>
      </c>
      <c r="F79" s="40" t="inlineStr">
        <is>
          <t>Logística</t>
        </is>
      </c>
      <c r="G79" s="38" t="inlineStr">
        <is>
          <t>Vertebral</t>
        </is>
      </c>
      <c r="H79" s="40" t="inlineStr">
        <is>
          <t>Camino</t>
        </is>
      </c>
      <c r="I79" s="40" t="inlineStr">
        <is>
          <t>Mejora de edificio</t>
        </is>
      </c>
      <c r="J79" s="40" t="inlineStr">
        <is>
          <t>Desbloquea La Calzada sin Fin, la maravilla de Logística (única en la partida): mover comida y producción por su zona es gratis mientras controles su zona. Solo se puede investigar si nadie la ha construido.</t>
        </is>
      </c>
      <c r="K79" s="40" t="inlineStr">
        <is>
          <t>Camino civil II (T077)</t>
        </is>
      </c>
      <c r="L79" s="41">
        <f>IF(C79=1,0,CHOOSE(C79-1,Reglas!$C$6,Reglas!$C$7,Reglas!$C$8,Reglas!$C$9))</f>
        <v/>
      </c>
      <c r="M79" s="41" t="inlineStr">
        <is>
          <t>Tuya</t>
        </is>
      </c>
      <c r="N79" s="41" t="n">
        <v>4</v>
      </c>
      <c r="O79" s="41" t="inlineStr">
        <is>
          <t>Alto</t>
        </is>
      </c>
      <c r="P79" s="40" t="inlineStr">
        <is>
          <t>Por sí sola no da su efecto: lo da la maravilla. Si otro la termina antes, pierdes la obra y recuperas la mitad de la producción, pero conservas la tecnología (cuenta para la victoria tecnológica).</t>
        </is>
      </c>
      <c r="Q79" s="41" t="n"/>
    </row>
    <row r="80" ht="23.25" customHeight="1" s="27">
      <c r="A80" s="41" t="inlineStr">
        <is>
          <t>T079</t>
        </is>
      </c>
      <c r="B80" s="42" t="inlineStr">
        <is>
          <t>Almacén de comida I</t>
        </is>
      </c>
      <c r="C80" s="41" t="n">
        <v>2</v>
      </c>
      <c r="D80" s="41">
        <f>IF(Q80="Sí",0,C80*Reglas!$C$5)</f>
        <v/>
      </c>
      <c r="E80" s="40" t="inlineStr">
        <is>
          <t>Construcción</t>
        </is>
      </c>
      <c r="F80" s="40" t="inlineStr">
        <is>
          <t>Logística</t>
        </is>
      </c>
      <c r="G80" s="41" t="inlineStr">
        <is>
          <t>Opcional</t>
        </is>
      </c>
      <c r="H80" s="40" t="inlineStr">
        <is>
          <t>Almacén</t>
        </is>
      </c>
      <c r="I80" s="40" t="inlineStr">
        <is>
          <t>Especialización de edificio</t>
        </is>
      </c>
      <c r="J80" s="40" t="inlineStr">
        <is>
          <t>Esp.: el almacén guarda 10 más de comida.</t>
        </is>
      </c>
      <c r="K80" s="40" t="inlineStr">
        <is>
          <t>Almacenes (T073)</t>
        </is>
      </c>
      <c r="L80" s="41">
        <f>IF(C80=1,0,CHOOSE(C80-1,Reglas!$C$6,Reglas!$C$7,Reglas!$C$8,Reglas!$C$9))</f>
        <v/>
      </c>
      <c r="M80" s="41" t="inlineStr">
        <is>
          <t>Tuya</t>
        </is>
      </c>
      <c r="N80" s="41" t="n">
        <v>4</v>
      </c>
      <c r="O80" s="41" t="inlineStr">
        <is>
          <t>Bajo</t>
        </is>
      </c>
      <c r="P80" s="40" t="inlineStr">
        <is>
          <t>Buena para quien juega a crecer. Aclarar si un mismo almacén puede tener la especialización de comida y la de producción a la vez (se asume que no).</t>
        </is>
      </c>
      <c r="Q80" s="41" t="n"/>
    </row>
    <row r="81" ht="15" customHeight="1" s="27">
      <c r="A81" s="41" t="inlineStr">
        <is>
          <t>T080</t>
        </is>
      </c>
      <c r="B81" s="42" t="inlineStr">
        <is>
          <t>Almacén de producción I</t>
        </is>
      </c>
      <c r="C81" s="41" t="n">
        <v>2</v>
      </c>
      <c r="D81" s="41">
        <f>IF(Q81="Sí",0,C81*Reglas!$C$5)</f>
        <v/>
      </c>
      <c r="E81" s="40" t="inlineStr">
        <is>
          <t>Construcción</t>
        </is>
      </c>
      <c r="F81" s="40" t="inlineStr">
        <is>
          <t>Logística</t>
        </is>
      </c>
      <c r="G81" s="41" t="inlineStr">
        <is>
          <t>Opcional</t>
        </is>
      </c>
      <c r="H81" s="40" t="inlineStr">
        <is>
          <t>Almacén</t>
        </is>
      </c>
      <c r="I81" s="40" t="inlineStr">
        <is>
          <t>Especialización de edificio</t>
        </is>
      </c>
      <c r="J81" s="40" t="inlineStr">
        <is>
          <t>Esp.: el almacén guarda 10 más de producción.</t>
        </is>
      </c>
      <c r="K81" s="40" t="inlineStr">
        <is>
          <t>Almacenes (T073)</t>
        </is>
      </c>
      <c r="L81" s="41">
        <f>IF(C81=1,0,CHOOSE(C81-1,Reglas!$C$6,Reglas!$C$7,Reglas!$C$8,Reglas!$C$9))</f>
        <v/>
      </c>
      <c r="M81" s="41" t="inlineStr">
        <is>
          <t>Tuya</t>
        </is>
      </c>
      <c r="N81" s="41" t="n">
        <v>4</v>
      </c>
      <c r="O81" s="41" t="inlineStr">
        <is>
          <t>Bajo</t>
        </is>
      </c>
      <c r="P81" s="40" t="inlineStr">
        <is>
          <t>Útil para juntar los 500 de la Maravilla sin depender tanto de la logística.</t>
        </is>
      </c>
      <c r="Q81" s="41" t="n"/>
    </row>
    <row r="82" ht="23.25" customHeight="1" s="27">
      <c r="A82" s="41" t="inlineStr">
        <is>
          <t>T081</t>
        </is>
      </c>
      <c r="B82" s="42" t="inlineStr">
        <is>
          <t>Almacenes económicos</t>
        </is>
      </c>
      <c r="C82" s="41" t="n">
        <v>2</v>
      </c>
      <c r="D82" s="41">
        <f>IF(Q82="Sí",0,C82*Reglas!$C$5)</f>
        <v/>
      </c>
      <c r="E82" s="40" t="inlineStr">
        <is>
          <t>Construcción</t>
        </is>
      </c>
      <c r="F82" s="40" t="inlineStr">
        <is>
          <t>Logística</t>
        </is>
      </c>
      <c r="G82" s="41" t="inlineStr">
        <is>
          <t>Opcional</t>
        </is>
      </c>
      <c r="H82" s="40" t="inlineStr">
        <is>
          <t>Almacén</t>
        </is>
      </c>
      <c r="I82" s="40" t="inlineStr">
        <is>
          <t>Mejora de edificio</t>
        </is>
      </c>
      <c r="J82" s="40" t="inlineStr">
        <is>
          <t>El Almacén cuesta la mitad de producción.</t>
        </is>
      </c>
      <c r="K82" s="40" t="inlineStr">
        <is>
          <t>Almacenes (T073)</t>
        </is>
      </c>
      <c r="L82" s="41">
        <f>IF(C82=1,0,CHOOSE(C82-1,Reglas!$C$6,Reglas!$C$7,Reglas!$C$8,Reglas!$C$9))</f>
        <v/>
      </c>
      <c r="M82" s="41" t="inlineStr">
        <is>
          <t>Tuya</t>
        </is>
      </c>
      <c r="N82" s="41" t="n">
        <v>2</v>
      </c>
      <c r="O82" s="41" t="inlineStr">
        <is>
          <t>Bajo</t>
        </is>
      </c>
      <c r="P82" s="40" t="inlineStr">
        <is>
          <t>El Almacén ya es barato (20 de producción), así que ahorra solo 10. Casi nadie la elegirá; mejor ligarla a otro efecto.</t>
        </is>
      </c>
      <c r="Q82" s="41" t="n"/>
    </row>
    <row r="83" ht="23.25" customHeight="1" s="27">
      <c r="A83" s="41" t="inlineStr">
        <is>
          <t>T082</t>
        </is>
      </c>
      <c r="B83" s="42" t="inlineStr">
        <is>
          <t>Intereses del almacén I</t>
        </is>
      </c>
      <c r="C83" s="41" t="n">
        <v>2</v>
      </c>
      <c r="D83" s="41">
        <f>IF(Q83="Sí",0,C83*Reglas!$C$5)</f>
        <v/>
      </c>
      <c r="E83" s="40" t="inlineStr">
        <is>
          <t>Construcción</t>
        </is>
      </c>
      <c r="F83" s="40" t="inlineStr">
        <is>
          <t>Logística</t>
        </is>
      </c>
      <c r="G83" s="41" t="inlineStr">
        <is>
          <t>Opcional</t>
        </is>
      </c>
      <c r="H83" s="40" t="inlineStr">
        <is>
          <t>Almacén</t>
        </is>
      </c>
      <c r="I83" s="40" t="inlineStr">
        <is>
          <t>Especialización de edificio</t>
        </is>
      </c>
      <c r="J83" s="40" t="inlineStr">
        <is>
          <t>Por cada 10 unidades de comida o producción almacenadas en la zona, el almacén genera 1 de oro.</t>
        </is>
      </c>
      <c r="K83" s="40" t="inlineStr">
        <is>
          <t>Almacenes (T073); Moneda (T032)</t>
        </is>
      </c>
      <c r="L83" s="41">
        <f>IF(C83=1,0,CHOOSE(C83-1,Reglas!$C$6,Reglas!$C$7,Reglas!$C$8,Reglas!$C$9))</f>
        <v/>
      </c>
      <c r="M83" s="41" t="inlineStr">
        <is>
          <t>Tuya</t>
        </is>
      </c>
      <c r="N83" s="41" t="n">
        <v>4</v>
      </c>
      <c r="O83" s="41" t="inlineStr">
        <is>
          <t>Medio</t>
        </is>
      </c>
      <c r="P83" s="40" t="inlineStr">
        <is>
          <t>Convierte reservas en oro y compite con gastarlas. Con el tope base de 10 por zona rinde apenas 1 de oro; mejora mucho con las ampliaciones.</t>
        </is>
      </c>
      <c r="Q83" s="41" t="n"/>
    </row>
    <row r="84" ht="23.25" customHeight="1" s="27">
      <c r="A84" s="41" t="inlineStr">
        <is>
          <t>T083</t>
        </is>
      </c>
      <c r="B84" s="42" t="inlineStr">
        <is>
          <t>Camino militar I</t>
        </is>
      </c>
      <c r="C84" s="41" t="n">
        <v>2</v>
      </c>
      <c r="D84" s="41">
        <f>IF(Q84="Sí",0,C84*Reglas!$C$5)</f>
        <v/>
      </c>
      <c r="E84" s="40" t="inlineStr">
        <is>
          <t>Construcción</t>
        </is>
      </c>
      <c r="F84" s="40" t="inlineStr">
        <is>
          <t>Logística</t>
        </is>
      </c>
      <c r="G84" s="41" t="inlineStr">
        <is>
          <t>Opcional</t>
        </is>
      </c>
      <c r="H84" s="40" t="inlineStr">
        <is>
          <t>Camino</t>
        </is>
      </c>
      <c r="I84" s="40" t="inlineStr">
        <is>
          <t>Especialización de edificio</t>
        </is>
      </c>
      <c r="J84" s="40" t="inlineStr">
        <is>
          <t>Esp.: las unidades militares que se mueven desde esta zona obtienen 1 de iniciativa en los combates de esa ronda.</t>
        </is>
      </c>
      <c r="K84" s="40" t="inlineStr">
        <is>
          <t>Caminos (T074)</t>
        </is>
      </c>
      <c r="L84" s="41">
        <f>IF(C84=1,0,CHOOSE(C84-1,Reglas!$C$6,Reglas!$C$7,Reglas!$C$8,Reglas!$C$9))</f>
        <v/>
      </c>
      <c r="M84" s="41" t="inlineStr">
        <is>
          <t>Tuya</t>
        </is>
      </c>
      <c r="N84" s="41" t="n">
        <v>3</v>
      </c>
      <c r="O84" s="41" t="inlineStr">
        <is>
          <t>Bajo</t>
        </is>
      </c>
      <c r="P84" s="40" t="inlineStr">
        <is>
          <t>El '+1 de iniciativa' es ambiguo: como el número menor actúa primero, ¿es un +1 (más lento) o un −1 (más rápido)? Se propone −1, es decir, actúan antes.</t>
        </is>
      </c>
      <c r="Q84" s="41" t="n"/>
    </row>
    <row r="85" ht="23.25" customHeight="1" s="27">
      <c r="A85" s="41" t="inlineStr">
        <is>
          <t>T084</t>
        </is>
      </c>
      <c r="B85" s="42" t="inlineStr">
        <is>
          <t>Almacén de comida II</t>
        </is>
      </c>
      <c r="C85" s="41" t="n">
        <v>3</v>
      </c>
      <c r="D85" s="41">
        <f>IF(Q85="Sí",0,C85*Reglas!$C$5)</f>
        <v/>
      </c>
      <c r="E85" s="40" t="inlineStr">
        <is>
          <t>Construcción</t>
        </is>
      </c>
      <c r="F85" s="40" t="inlineStr">
        <is>
          <t>Logística</t>
        </is>
      </c>
      <c r="G85" s="41" t="inlineStr">
        <is>
          <t>Opcional</t>
        </is>
      </c>
      <c r="H85" s="40" t="inlineStr">
        <is>
          <t>Almacén</t>
        </is>
      </c>
      <c r="I85" s="40" t="inlineStr">
        <is>
          <t>Especialización de edificio</t>
        </is>
      </c>
      <c r="J85" s="40" t="inlineStr">
        <is>
          <t>Esp.: el almacén guarda 20 más de comida (reemplaza el bono anterior).</t>
        </is>
      </c>
      <c r="K85" s="40" t="inlineStr">
        <is>
          <t>Almacén de comida I (T079)</t>
        </is>
      </c>
      <c r="L85" s="41">
        <f>IF(C85=1,0,CHOOSE(C85-1,Reglas!$C$6,Reglas!$C$7,Reglas!$C$8,Reglas!$C$9))</f>
        <v/>
      </c>
      <c r="M85" s="41" t="inlineStr">
        <is>
          <t>Tuya</t>
        </is>
      </c>
      <c r="N85" s="41" t="n">
        <v>4</v>
      </c>
      <c r="O85" s="41" t="inlineStr">
        <is>
          <t>Bajo</t>
        </is>
      </c>
      <c r="P85" s="40" t="inlineStr">
        <is>
          <t>Se asume que los bonos NO se acumulan (reemplazan al anterior). Si se acumularan, la reserva crecería mucho más rápido.</t>
        </is>
      </c>
      <c r="Q85" s="41" t="n"/>
    </row>
    <row r="86" ht="23.25" customHeight="1" s="27">
      <c r="A86" s="41" t="inlineStr">
        <is>
          <t>T085</t>
        </is>
      </c>
      <c r="B86" s="42" t="inlineStr">
        <is>
          <t>Almacén de producción II</t>
        </is>
      </c>
      <c r="C86" s="41" t="n">
        <v>3</v>
      </c>
      <c r="D86" s="41">
        <f>IF(Q86="Sí",0,C86*Reglas!$C$5)</f>
        <v/>
      </c>
      <c r="E86" s="40" t="inlineStr">
        <is>
          <t>Construcción</t>
        </is>
      </c>
      <c r="F86" s="40" t="inlineStr">
        <is>
          <t>Logística</t>
        </is>
      </c>
      <c r="G86" s="41" t="inlineStr">
        <is>
          <t>Opcional</t>
        </is>
      </c>
      <c r="H86" s="40" t="inlineStr">
        <is>
          <t>Almacén</t>
        </is>
      </c>
      <c r="I86" s="40" t="inlineStr">
        <is>
          <t>Especialización de edificio</t>
        </is>
      </c>
      <c r="J86" s="40" t="inlineStr">
        <is>
          <t>Esp.: el almacén guarda 20 más de producción (reemplaza el bono anterior).</t>
        </is>
      </c>
      <c r="K86" s="40" t="inlineStr">
        <is>
          <t>Almacén de producción I (T080)</t>
        </is>
      </c>
      <c r="L86" s="41">
        <f>IF(C86=1,0,CHOOSE(C86-1,Reglas!$C$6,Reglas!$C$7,Reglas!$C$8,Reglas!$C$9))</f>
        <v/>
      </c>
      <c r="M86" s="41" t="inlineStr">
        <is>
          <t>Tuya</t>
        </is>
      </c>
      <c r="N86" s="41" t="n">
        <v>4</v>
      </c>
      <c r="O86" s="41" t="inlineStr">
        <is>
          <t>Bajo</t>
        </is>
      </c>
      <c r="P86" s="40" t="inlineStr">
        <is>
          <t>Misma duda que con la comida: se asume que no se acumula con el nivel anterior.</t>
        </is>
      </c>
      <c r="Q86" s="41" t="n"/>
    </row>
    <row r="87" ht="23.25" customHeight="1" s="27">
      <c r="A87" s="41" t="inlineStr">
        <is>
          <t>T086</t>
        </is>
      </c>
      <c r="B87" s="42" t="inlineStr">
        <is>
          <t>Almacén de comida III</t>
        </is>
      </c>
      <c r="C87" s="41" t="n">
        <v>4</v>
      </c>
      <c r="D87" s="41">
        <f>IF(Q87="Sí",0,C87*Reglas!$C$5)</f>
        <v/>
      </c>
      <c r="E87" s="40" t="inlineStr">
        <is>
          <t>Construcción</t>
        </is>
      </c>
      <c r="F87" s="40" t="inlineStr">
        <is>
          <t>Logística</t>
        </is>
      </c>
      <c r="G87" s="41" t="inlineStr">
        <is>
          <t>Opcional</t>
        </is>
      </c>
      <c r="H87" s="40" t="inlineStr">
        <is>
          <t>Almacén</t>
        </is>
      </c>
      <c r="I87" s="40" t="inlineStr">
        <is>
          <t>Especialización de edificio</t>
        </is>
      </c>
      <c r="J87" s="40" t="inlineStr">
        <is>
          <t>Esp.: el almacén guarda 30 más de comida (reemplaza el bono anterior).</t>
        </is>
      </c>
      <c r="K87" s="40" t="inlineStr">
        <is>
          <t>Almacén de comida II (T084)</t>
        </is>
      </c>
      <c r="L87" s="41">
        <f>IF(C87=1,0,CHOOSE(C87-1,Reglas!$C$6,Reglas!$C$7,Reglas!$C$8,Reglas!$C$9))</f>
        <v/>
      </c>
      <c r="M87" s="41" t="inlineStr">
        <is>
          <t>Tuya</t>
        </is>
      </c>
      <c r="N87" s="41" t="n">
        <v>3</v>
      </c>
      <c r="O87" s="41" t="inlineStr">
        <is>
          <t>Medio</t>
        </is>
      </c>
      <c r="P87" s="40" t="inlineStr">
        <is>
          <t>Con un tope base de 10 por zona, +30 es cuadruplicar la reserva. Sirve para ahorrar para crecer, pero pierde valor si no hay presión de hambre.</t>
        </is>
      </c>
      <c r="Q87" s="41" t="n"/>
    </row>
    <row r="88" ht="23.25" customHeight="1" s="27">
      <c r="A88" s="41" t="inlineStr">
        <is>
          <t>T087</t>
        </is>
      </c>
      <c r="B88" s="42" t="inlineStr">
        <is>
          <t>Almacén de producción III</t>
        </is>
      </c>
      <c r="C88" s="41" t="n">
        <v>4</v>
      </c>
      <c r="D88" s="41">
        <f>IF(Q88="Sí",0,C88*Reglas!$C$5)</f>
        <v/>
      </c>
      <c r="E88" s="40" t="inlineStr">
        <is>
          <t>Construcción</t>
        </is>
      </c>
      <c r="F88" s="40" t="inlineStr">
        <is>
          <t>Logística</t>
        </is>
      </c>
      <c r="G88" s="41" t="inlineStr">
        <is>
          <t>Opcional</t>
        </is>
      </c>
      <c r="H88" s="40" t="inlineStr">
        <is>
          <t>Almacén</t>
        </is>
      </c>
      <c r="I88" s="40" t="inlineStr">
        <is>
          <t>Especialización de edificio</t>
        </is>
      </c>
      <c r="J88" s="40" t="inlineStr">
        <is>
          <t>Esp.: el almacén guarda 30 más de producción (reemplaza el bono anterior).</t>
        </is>
      </c>
      <c r="K88" s="40" t="inlineStr">
        <is>
          <t>Almacén de producción II (T085)</t>
        </is>
      </c>
      <c r="L88" s="41">
        <f>IF(C88=1,0,CHOOSE(C88-1,Reglas!$C$6,Reglas!$C$7,Reglas!$C$8,Reglas!$C$9))</f>
        <v/>
      </c>
      <c r="M88" s="41" t="inlineStr">
        <is>
          <t>Tuya</t>
        </is>
      </c>
      <c r="N88" s="41" t="n">
        <v>3</v>
      </c>
      <c r="O88" s="41" t="inlineStr">
        <is>
          <t>Medio</t>
        </is>
      </c>
      <c r="P88" s="40" t="inlineStr">
        <is>
          <t>Buen apoyo para el plan de Maravillas o de muchos edificios; el costo de oportunidad es ocupar un espacio de edificio.</t>
        </is>
      </c>
      <c r="Q88" s="41" t="n"/>
    </row>
    <row r="89" ht="23.25" customHeight="1" s="27">
      <c r="A89" s="41" t="inlineStr">
        <is>
          <t>T088</t>
        </is>
      </c>
      <c r="B89" s="42" t="inlineStr">
        <is>
          <t>Intereses del almacén II</t>
        </is>
      </c>
      <c r="C89" s="41" t="n">
        <v>4</v>
      </c>
      <c r="D89" s="41">
        <f>IF(Q89="Sí",0,C89*Reglas!$C$5)</f>
        <v/>
      </c>
      <c r="E89" s="40" t="inlineStr">
        <is>
          <t>Construcción</t>
        </is>
      </c>
      <c r="F89" s="40" t="inlineStr">
        <is>
          <t>Logística</t>
        </is>
      </c>
      <c r="G89" s="41" t="inlineStr">
        <is>
          <t>Opcional</t>
        </is>
      </c>
      <c r="H89" s="40" t="inlineStr">
        <is>
          <t>Almacén</t>
        </is>
      </c>
      <c r="I89" s="40" t="inlineStr">
        <is>
          <t>Especialización de edificio</t>
        </is>
      </c>
      <c r="J89" s="40" t="inlineStr">
        <is>
          <t>Por cada 5 unidades de comida o producción almacenadas en la zona, el almacén genera 1 de oro.</t>
        </is>
      </c>
      <c r="K89" s="40" t="inlineStr">
        <is>
          <t>Intereses del almacén I (T082); Contabilidad (T035)</t>
        </is>
      </c>
      <c r="L89" s="41">
        <f>IF(C89=1,0,CHOOSE(C89-1,Reglas!$C$6,Reglas!$C$7,Reglas!$C$8,Reglas!$C$9))</f>
        <v/>
      </c>
      <c r="M89" s="41" t="inlineStr">
        <is>
          <t>Tuya</t>
        </is>
      </c>
      <c r="N89" s="41" t="n">
        <v>3</v>
      </c>
      <c r="O89" s="41" t="inlineStr">
        <is>
          <t>Alto</t>
        </is>
      </c>
      <c r="P89" s="40" t="inlineStr">
        <is>
          <t>Con Almacén de comida IV (+100) un solo almacén daría unos 20 de oro por paso. Vigilar en la simulación.</t>
        </is>
      </c>
      <c r="Q89" s="41" t="n"/>
    </row>
    <row r="90" ht="23.25" customHeight="1" s="27">
      <c r="A90" s="41" t="inlineStr">
        <is>
          <t>T089</t>
        </is>
      </c>
      <c r="B90" s="42" t="inlineStr">
        <is>
          <t>Camino militar II</t>
        </is>
      </c>
      <c r="C90" s="41" t="n">
        <v>4</v>
      </c>
      <c r="D90" s="41">
        <f>IF(Q90="Sí",0,C90*Reglas!$C$5)</f>
        <v/>
      </c>
      <c r="E90" s="40" t="inlineStr">
        <is>
          <t>Construcción</t>
        </is>
      </c>
      <c r="F90" s="40" t="inlineStr">
        <is>
          <t>Logística</t>
        </is>
      </c>
      <c r="G90" s="41" t="inlineStr">
        <is>
          <t>Opcional</t>
        </is>
      </c>
      <c r="H90" s="40" t="inlineStr">
        <is>
          <t>Camino</t>
        </is>
      </c>
      <c r="I90" s="40" t="inlineStr">
        <is>
          <t>Especialización de edificio</t>
        </is>
      </c>
      <c r="J90" s="40" t="inlineStr">
        <is>
          <t>Esp.: la comida para mantener a las unidades militares que pasen por aquí cuesta 1 menos por unidad.</t>
        </is>
      </c>
      <c r="K90" s="40" t="inlineStr">
        <is>
          <t>Camino militar I (T083); Red de caminos I (T076)</t>
        </is>
      </c>
      <c r="L90" s="41">
        <f>IF(C90=1,0,CHOOSE(C90-1,Reglas!$C$6,Reglas!$C$7,Reglas!$C$8,Reglas!$C$9))</f>
        <v/>
      </c>
      <c r="M90" s="41" t="inlineStr">
        <is>
          <t>Tuya</t>
        </is>
      </c>
      <c r="N90" s="41" t="n">
        <v>3</v>
      </c>
      <c r="O90" s="41" t="inlineStr">
        <is>
          <t>Bajo</t>
        </is>
      </c>
      <c r="P90" s="40" t="inlineStr">
        <is>
          <t>Ahorro modesto: solo importa con ejércitos grandes en marcha. Aclarar si es una vez por paso o por cada zona cruzada.</t>
        </is>
      </c>
      <c r="Q90" s="41" t="n"/>
    </row>
    <row r="91" ht="23.25" customHeight="1" s="27">
      <c r="A91" s="41" t="inlineStr">
        <is>
          <t>T090</t>
        </is>
      </c>
      <c r="B91" s="42" t="inlineStr">
        <is>
          <t>Almacén de comida IV</t>
        </is>
      </c>
      <c r="C91" s="41" t="n">
        <v>5</v>
      </c>
      <c r="D91" s="41">
        <f>IF(Q91="Sí",0,C91*Reglas!$C$5)</f>
        <v/>
      </c>
      <c r="E91" s="40" t="inlineStr">
        <is>
          <t>Construcción</t>
        </is>
      </c>
      <c r="F91" s="40" t="inlineStr">
        <is>
          <t>Logística</t>
        </is>
      </c>
      <c r="G91" s="41" t="inlineStr">
        <is>
          <t>Opcional</t>
        </is>
      </c>
      <c r="H91" s="40" t="inlineStr">
        <is>
          <t>Almacén</t>
        </is>
      </c>
      <c r="I91" s="40" t="inlineStr">
        <is>
          <t>Especialización de edificio</t>
        </is>
      </c>
      <c r="J91" s="40" t="inlineStr">
        <is>
          <t>Esp.: el almacén guarda 100 más de comida (reemplaza el bono anterior).</t>
        </is>
      </c>
      <c r="K91" s="40" t="inlineStr">
        <is>
          <t>Almacén de comida III (T086)</t>
        </is>
      </c>
      <c r="L91" s="41">
        <f>IF(C91=1,0,CHOOSE(C91-1,Reglas!$C$6,Reglas!$C$7,Reglas!$C$8,Reglas!$C$9))</f>
        <v/>
      </c>
      <c r="M91" s="41" t="inlineStr">
        <is>
          <t>Tuya</t>
        </is>
      </c>
      <c r="N91" s="41" t="n">
        <v>3</v>
      </c>
      <c r="O91" s="41" t="inlineStr">
        <is>
          <t>Alto</t>
        </is>
      </c>
      <c r="P91" s="40" t="inlineStr">
        <is>
          <t>El salto de +30 a +100 es muy grande; considerar +50. Riesgo: un jugador puede sentarse sobre su comida y esperar los eventos negativos.</t>
        </is>
      </c>
      <c r="Q91" s="41" t="n"/>
    </row>
    <row r="92" ht="23.25" customHeight="1" s="27">
      <c r="A92" s="41" t="inlineStr">
        <is>
          <t>T091</t>
        </is>
      </c>
      <c r="B92" s="42" t="inlineStr">
        <is>
          <t>Almacén de producción IV</t>
        </is>
      </c>
      <c r="C92" s="41" t="n">
        <v>5</v>
      </c>
      <c r="D92" s="41">
        <f>IF(Q92="Sí",0,C92*Reglas!$C$5)</f>
        <v/>
      </c>
      <c r="E92" s="40" t="inlineStr">
        <is>
          <t>Construcción</t>
        </is>
      </c>
      <c r="F92" s="40" t="inlineStr">
        <is>
          <t>Logística</t>
        </is>
      </c>
      <c r="G92" s="41" t="inlineStr">
        <is>
          <t>Opcional</t>
        </is>
      </c>
      <c r="H92" s="40" t="inlineStr">
        <is>
          <t>Almacén</t>
        </is>
      </c>
      <c r="I92" s="40" t="inlineStr">
        <is>
          <t>Especialización de edificio</t>
        </is>
      </c>
      <c r="J92" s="40" t="inlineStr">
        <is>
          <t>Esp.: el almacén guarda 100 más de producción (reemplaza el bono anterior).</t>
        </is>
      </c>
      <c r="K92" s="40" t="inlineStr">
        <is>
          <t>Almacén de producción III (T087)</t>
        </is>
      </c>
      <c r="L92" s="41">
        <f>IF(C92=1,0,CHOOSE(C92-1,Reglas!$C$6,Reglas!$C$7,Reglas!$C$8,Reglas!$C$9))</f>
        <v/>
      </c>
      <c r="M92" s="41" t="inlineStr">
        <is>
          <t>Tuya</t>
        </is>
      </c>
      <c r="N92" s="41" t="n">
        <v>3</v>
      </c>
      <c r="O92" s="41" t="inlineStr">
        <is>
          <t>Alto</t>
        </is>
      </c>
      <c r="P92" s="40" t="inlineStr">
        <is>
          <t>Acumular 100 de producción sin pagar logística acelera mucho la victoria por Maravillas, sobre todo con Canteras reales. Vigilar.</t>
        </is>
      </c>
      <c r="Q92" s="41" t="n"/>
    </row>
    <row r="93" ht="15" customHeight="1" s="27">
      <c r="A93" s="38" t="inlineStr">
        <is>
          <t>T092</t>
        </is>
      </c>
      <c r="B93" s="39" t="inlineStr">
        <is>
          <t>Cuadrillas de obra</t>
        </is>
      </c>
      <c r="C93" s="38" t="n">
        <v>1</v>
      </c>
      <c r="D93" s="38">
        <f>IF(Q93="Sí",0,C93*Reglas!$C$5)</f>
        <v/>
      </c>
      <c r="E93" s="40" t="inlineStr">
        <is>
          <t>Civil</t>
        </is>
      </c>
      <c r="F93" s="40" t="inlineStr">
        <is>
          <t>Urbanismo</t>
        </is>
      </c>
      <c r="G93" s="38" t="inlineStr">
        <is>
          <t>Vertebral</t>
        </is>
      </c>
      <c r="H93" s="40" t="inlineStr">
        <is>
          <t>Producción</t>
        </is>
      </c>
      <c r="I93" s="40" t="inlineStr">
        <is>
          <t>Producción</t>
        </is>
      </c>
      <c r="J93" s="40" t="inlineStr">
        <is>
          <t>Cada ingeniero que construye puede usar +1 de producción por paso.</t>
        </is>
      </c>
      <c r="K93" s="40" t="inlineStr">
        <is>
          <t>—</t>
        </is>
      </c>
      <c r="L93" s="41">
        <f>IF(C93=1,0,CHOOSE(C93-1,Reglas!$C$6,Reglas!$C$7,Reglas!$C$8,Reglas!$C$9))</f>
        <v/>
      </c>
      <c r="M93" s="41" t="inlineStr">
        <is>
          <t>Mía</t>
        </is>
      </c>
      <c r="N93" s="41" t="n">
        <v>4</v>
      </c>
      <c r="O93" s="41" t="inlineStr">
        <is>
          <t>Bajo</t>
        </is>
      </c>
      <c r="P93" s="40" t="inlineStr">
        <is>
          <t>Acelera la construcción; útil desde temprano.</t>
        </is>
      </c>
      <c r="Q93" s="41" t="n"/>
    </row>
    <row r="94" ht="15" customHeight="1" s="27">
      <c r="A94" s="38" t="inlineStr">
        <is>
          <t>T093</t>
        </is>
      </c>
      <c r="B94" s="39" t="inlineStr">
        <is>
          <t>Gremios de ingenieros</t>
        </is>
      </c>
      <c r="C94" s="38" t="n">
        <v>2</v>
      </c>
      <c r="D94" s="38">
        <f>IF(Q94="Sí",0,C94*Reglas!$C$5)</f>
        <v/>
      </c>
      <c r="E94" s="40" t="inlineStr">
        <is>
          <t>Civil</t>
        </is>
      </c>
      <c r="F94" s="40" t="inlineStr">
        <is>
          <t>Urbanismo</t>
        </is>
      </c>
      <c r="G94" s="38" t="inlineStr">
        <is>
          <t>Vertebral</t>
        </is>
      </c>
      <c r="H94" s="40" t="inlineStr">
        <is>
          <t>Edificios</t>
        </is>
      </c>
      <c r="I94" s="40" t="inlineStr">
        <is>
          <t>Costo de obras</t>
        </is>
      </c>
      <c r="J94" s="40" t="inlineStr">
        <is>
          <t>Construir y mejorar edificios cuesta un 10 % menos.</t>
        </is>
      </c>
      <c r="K94" s="40" t="inlineStr">
        <is>
          <t>Cuadrillas de obra (T092)</t>
        </is>
      </c>
      <c r="L94" s="41">
        <f>IF(C94=1,0,CHOOSE(C94-1,Reglas!$C$6,Reglas!$C$7,Reglas!$C$8,Reglas!$C$9))</f>
        <v/>
      </c>
      <c r="M94" s="41" t="inlineStr">
        <is>
          <t>Mía</t>
        </is>
      </c>
      <c r="N94" s="41" t="n">
        <v>4</v>
      </c>
      <c r="O94" s="41" t="inlineStr">
        <is>
          <t>Bajo</t>
        </is>
      </c>
      <c r="P94" s="40" t="inlineStr">
        <is>
          <t>Permite construir más rápido; necesaria para planes de edificios.</t>
        </is>
      </c>
      <c r="Q94" s="41" t="n"/>
    </row>
    <row r="95" ht="23.25" customHeight="1" s="27">
      <c r="A95" s="38" t="inlineStr">
        <is>
          <t>T094</t>
        </is>
      </c>
      <c r="B95" s="39" t="inlineStr">
        <is>
          <t>Andamios</t>
        </is>
      </c>
      <c r="C95" s="38" t="n">
        <v>3</v>
      </c>
      <c r="D95" s="38">
        <f>IF(Q95="Sí",0,C95*Reglas!$C$5)</f>
        <v/>
      </c>
      <c r="E95" s="40" t="inlineStr">
        <is>
          <t>Construcción</t>
        </is>
      </c>
      <c r="F95" s="40" t="inlineStr">
        <is>
          <t>Urbanismo</t>
        </is>
      </c>
      <c r="G95" s="38" t="inlineStr">
        <is>
          <t>Vertebral</t>
        </is>
      </c>
      <c r="H95" s="40" t="inlineStr">
        <is>
          <t>Edificios</t>
        </is>
      </c>
      <c r="I95" s="40" t="inlineStr">
        <is>
          <t>Mejora de edificio</t>
        </is>
      </c>
      <c r="J95" s="40" t="inlineStr">
        <is>
          <t>+1 trabajador por edificio (de 2 a 3).</t>
        </is>
      </c>
      <c r="K95" s="40" t="inlineStr">
        <is>
          <t>Cuadrillas de obra (T092)</t>
        </is>
      </c>
      <c r="L95" s="41">
        <f>IF(C95=1,0,CHOOSE(C95-1,Reglas!$C$6,Reglas!$C$7,Reglas!$C$8,Reglas!$C$9))</f>
        <v/>
      </c>
      <c r="M95" s="41" t="inlineStr">
        <is>
          <t>Mía</t>
        </is>
      </c>
      <c r="N95" s="41" t="n">
        <v>5</v>
      </c>
      <c r="O95" s="41" t="inlineStr">
        <is>
          <t>Alto</t>
        </is>
      </c>
      <c r="P95" s="40" t="inlineStr">
        <is>
          <t>Muy fuerte: multiplica el efecto de todos los edificios. Es una de las tecnologías más valiosas.</t>
        </is>
      </c>
      <c r="Q95" s="41" t="n"/>
    </row>
    <row r="96" ht="23.25" customHeight="1" s="27">
      <c r="A96" s="38" t="inlineStr">
        <is>
          <t>T095</t>
        </is>
      </c>
      <c r="B96" s="39" t="inlineStr">
        <is>
          <t>Grandes obras</t>
        </is>
      </c>
      <c r="C96" s="38" t="n">
        <v>4</v>
      </c>
      <c r="D96" s="38">
        <f>IF(Q96="Sí",0,C96*Reglas!$C$5)</f>
        <v/>
      </c>
      <c r="E96" s="40" t="inlineStr">
        <is>
          <t>Civil</t>
        </is>
      </c>
      <c r="F96" s="40" t="inlineStr">
        <is>
          <t>Urbanismo</t>
        </is>
      </c>
      <c r="G96" s="38" t="inlineStr">
        <is>
          <t>Vertebral</t>
        </is>
      </c>
      <c r="H96" s="40" t="inlineStr">
        <is>
          <t>Edificios</t>
        </is>
      </c>
      <c r="I96" s="40" t="inlineStr">
        <is>
          <t>Costo de obras</t>
        </is>
      </c>
      <c r="J96" s="40" t="inlineStr">
        <is>
          <t>Mejorar un edificio a nivel 3 o más cuesta 10 de producción menos (mínimo 10).</t>
        </is>
      </c>
      <c r="K96" s="40" t="inlineStr">
        <is>
          <t>Gremios de ingenieros (T093); Andamios (T094)</t>
        </is>
      </c>
      <c r="L96" s="41">
        <f>IF(C96=1,0,CHOOSE(C96-1,Reglas!$C$6,Reglas!$C$7,Reglas!$C$8,Reglas!$C$9))</f>
        <v/>
      </c>
      <c r="M96" s="41" t="inlineStr">
        <is>
          <t>Mía</t>
        </is>
      </c>
      <c r="N96" s="41" t="n">
        <v>4</v>
      </c>
      <c r="O96" s="41" t="inlineStr">
        <is>
          <t>Bajo</t>
        </is>
      </c>
      <c r="P96" s="40" t="inlineStr">
        <is>
          <t>Necesaria para las Maravillas.</t>
        </is>
      </c>
      <c r="Q96" s="41" t="n"/>
    </row>
    <row r="97" ht="15" customHeight="1" s="27">
      <c r="A97" s="38" t="inlineStr">
        <is>
          <t>T096</t>
        </is>
      </c>
      <c r="B97" s="39" t="inlineStr">
        <is>
          <t>Grúas</t>
        </is>
      </c>
      <c r="C97" s="38" t="n">
        <v>4</v>
      </c>
      <c r="D97" s="38">
        <f>IF(Q97="Sí",0,C97*Reglas!$C$5)</f>
        <v/>
      </c>
      <c r="E97" s="40" t="inlineStr">
        <is>
          <t>Construcción</t>
        </is>
      </c>
      <c r="F97" s="40" t="inlineStr">
        <is>
          <t>Urbanismo</t>
        </is>
      </c>
      <c r="G97" s="38" t="inlineStr">
        <is>
          <t>Vertebral</t>
        </is>
      </c>
      <c r="H97" s="40" t="inlineStr">
        <is>
          <t>Edificios</t>
        </is>
      </c>
      <c r="I97" s="40" t="inlineStr">
        <is>
          <t>Mejora de edificio</t>
        </is>
      </c>
      <c r="J97" s="40" t="inlineStr">
        <is>
          <t>+1 trabajador por edificio (de 3 a 4).</t>
        </is>
      </c>
      <c r="K97" s="40" t="inlineStr">
        <is>
          <t>Andamios (T094)</t>
        </is>
      </c>
      <c r="L97" s="41">
        <f>IF(C97=1,0,CHOOSE(C97-1,Reglas!$C$6,Reglas!$C$7,Reglas!$C$8,Reglas!$C$9))</f>
        <v/>
      </c>
      <c r="M97" s="41" t="inlineStr">
        <is>
          <t>Mía</t>
        </is>
      </c>
      <c r="N97" s="41" t="n">
        <v>4</v>
      </c>
      <c r="O97" s="41" t="inlineStr">
        <is>
          <t>Medio</t>
        </is>
      </c>
      <c r="P97" s="40" t="inlineStr">
        <is>
          <t>Sigue la línea de Andamios.</t>
        </is>
      </c>
      <c r="Q97" s="41" t="n"/>
    </row>
    <row r="98" ht="23.25" customHeight="1" s="27">
      <c r="A98" s="38" t="inlineStr">
        <is>
          <t>T097</t>
        </is>
      </c>
      <c r="B98" s="39" t="inlineStr">
        <is>
          <t>Maravillas</t>
        </is>
      </c>
      <c r="C98" s="38" t="n">
        <v>5</v>
      </c>
      <c r="D98" s="38">
        <f>IF(Q98="Sí",0,C98*Reglas!$C$5)</f>
        <v/>
      </c>
      <c r="E98" s="40" t="inlineStr">
        <is>
          <t>Construcción</t>
        </is>
      </c>
      <c r="F98" s="40" t="inlineStr">
        <is>
          <t>Urbanismo</t>
        </is>
      </c>
      <c r="G98" s="38" t="inlineStr">
        <is>
          <t>Vertebral</t>
        </is>
      </c>
      <c r="H98" s="40" t="inlineStr">
        <is>
          <t>Maravilla</t>
        </is>
      </c>
      <c r="I98" s="40" t="inlineStr">
        <is>
          <t>Desbloqueo de edificio</t>
        </is>
      </c>
      <c r="J98" s="40" t="inlineStr">
        <is>
          <t>Desbloquea La Plaza Mayor, la maravilla de Urbanismo (única en la partida): tus obras cuestan un 25 % menos (no las maravillas) mientras controles su zona. Solo se puede investigar si nadie la ha construido.</t>
        </is>
      </c>
      <c r="K98" s="40" t="inlineStr">
        <is>
          <t>Grandes obras (T095); Grúas (T096)</t>
        </is>
      </c>
      <c r="L98" s="41">
        <f>IF(C98=1,0,CHOOSE(C98-1,Reglas!$C$6,Reglas!$C$7,Reglas!$C$8,Reglas!$C$9))</f>
        <v/>
      </c>
      <c r="M98" s="41" t="inlineStr">
        <is>
          <t>Tuya</t>
        </is>
      </c>
      <c r="N98" s="41" t="n">
        <v>4</v>
      </c>
      <c r="O98" s="41" t="inlineStr">
        <is>
          <t>Bajo</t>
        </is>
      </c>
      <c r="P98" s="40" t="inlineStr">
        <is>
          <t>Por sí sola no da su efecto: lo da la maravilla. Si otro la termina antes, pierdes la obra y recuperas la mitad de la producción, pero conservas la tecnología (cuenta para la victoria tecnológica).</t>
        </is>
      </c>
      <c r="Q98" s="41" t="n"/>
    </row>
    <row r="99" ht="23.25" customHeight="1" s="27">
      <c r="A99" s="41" t="inlineStr">
        <is>
          <t>T098</t>
        </is>
      </c>
      <c r="B99" s="42" t="inlineStr">
        <is>
          <t>Logística de obra</t>
        </is>
      </c>
      <c r="C99" s="41" t="n">
        <v>3</v>
      </c>
      <c r="D99" s="41">
        <f>IF(Q99="Sí",0,C99*Reglas!$C$5)</f>
        <v/>
      </c>
      <c r="E99" s="40" t="inlineStr">
        <is>
          <t>Civil</t>
        </is>
      </c>
      <c r="F99" s="40" t="inlineStr">
        <is>
          <t>Urbanismo</t>
        </is>
      </c>
      <c r="G99" s="41" t="inlineStr">
        <is>
          <t>Opcional</t>
        </is>
      </c>
      <c r="H99" s="40" t="inlineStr">
        <is>
          <t>Producción</t>
        </is>
      </c>
      <c r="I99" s="40" t="inlineStr">
        <is>
          <t>Producción</t>
        </is>
      </c>
      <c r="J99" s="40" t="inlineStr">
        <is>
          <t>Las obras pueden traer producción de zonas a hasta 2 espacios de distancia.</t>
        </is>
      </c>
      <c r="K99" s="40" t="inlineStr">
        <is>
          <t>Cuadrillas de obra (T092)</t>
        </is>
      </c>
      <c r="L99" s="41">
        <f>IF(C99=1,0,CHOOSE(C99-1,Reglas!$C$6,Reglas!$C$7,Reglas!$C$8,Reglas!$C$9))</f>
        <v/>
      </c>
      <c r="M99" s="41" t="inlineStr">
        <is>
          <t>Mía</t>
        </is>
      </c>
      <c r="N99" s="41" t="n">
        <v>3</v>
      </c>
      <c r="O99" s="41" t="inlineStr">
        <is>
          <t>Bajo</t>
        </is>
      </c>
      <c r="P99" s="40" t="inlineStr">
        <is>
          <t>Reduce la dependencia de la producción local. Aclarar el costo de oro.</t>
        </is>
      </c>
      <c r="Q99" s="41" t="n"/>
    </row>
    <row r="100" ht="23.25" customHeight="1" s="27">
      <c r="A100" s="41" t="inlineStr">
        <is>
          <t>T099</t>
        </is>
      </c>
      <c r="B100" s="42" t="inlineStr">
        <is>
          <t>Canteras de colina</t>
        </is>
      </c>
      <c r="C100" s="41" t="n">
        <v>3</v>
      </c>
      <c r="D100" s="41">
        <f>IF(Q100="Sí",0,C100*Reglas!$C$5)</f>
        <v/>
      </c>
      <c r="E100" s="40" t="inlineStr">
        <is>
          <t>Civil</t>
        </is>
      </c>
      <c r="F100" s="40" t="inlineStr">
        <is>
          <t>Urbanismo</t>
        </is>
      </c>
      <c r="G100" s="41" t="inlineStr">
        <is>
          <t>Opcional</t>
        </is>
      </c>
      <c r="H100" s="40" t="inlineStr">
        <is>
          <t>Terreno y eventos</t>
        </is>
      </c>
      <c r="I100" s="40" t="inlineStr">
        <is>
          <t>Terreno</t>
        </is>
      </c>
      <c r="J100" s="40" t="inlineStr">
        <is>
          <t>En Colinas, ingenieros y pobladores construyen usando +1 de producción adicional.</t>
        </is>
      </c>
      <c r="K100" s="40" t="inlineStr">
        <is>
          <t>Carretillas (T020)</t>
        </is>
      </c>
      <c r="L100" s="41">
        <f>IF(C100=1,0,CHOOSE(C100-1,Reglas!$C$6,Reglas!$C$7,Reglas!$C$8,Reglas!$C$9))</f>
        <v/>
      </c>
      <c r="M100" s="41" t="inlineStr">
        <is>
          <t>Mía</t>
        </is>
      </c>
      <c r="N100" s="41" t="n">
        <v>3</v>
      </c>
      <c r="O100" s="41" t="inlineStr">
        <is>
          <t>Medio</t>
        </is>
      </c>
      <c r="P100" s="40" t="inlineStr">
        <is>
          <t>Sumada al bono natural de las Colinas, ingenieros y pobladores construyen usando +2. Útil para el plan de edificios.</t>
        </is>
      </c>
      <c r="Q100" s="41" t="n"/>
    </row>
    <row r="101" ht="15" customHeight="1" s="27">
      <c r="A101" s="41" t="inlineStr">
        <is>
          <t>T100</t>
        </is>
      </c>
      <c r="B101" s="42" t="inlineStr">
        <is>
          <t>Reciclaje</t>
        </is>
      </c>
      <c r="C101" s="41" t="n">
        <v>3</v>
      </c>
      <c r="D101" s="41">
        <f>IF(Q101="Sí",0,C101*Reglas!$C$5)</f>
        <v/>
      </c>
      <c r="E101" s="40" t="inlineStr">
        <is>
          <t>Construcción</t>
        </is>
      </c>
      <c r="F101" s="40" t="inlineStr">
        <is>
          <t>Urbanismo</t>
        </is>
      </c>
      <c r="G101" s="41" t="inlineStr">
        <is>
          <t>Opcional</t>
        </is>
      </c>
      <c r="H101" s="40" t="inlineStr">
        <is>
          <t>Edificios</t>
        </is>
      </c>
      <c r="I101" s="40" t="inlineStr">
        <is>
          <t>Mejora de edificio</t>
        </is>
      </c>
      <c r="J101" s="40" t="inlineStr">
        <is>
          <t>Al destruir un edificio recuperas 3/4 de su costo (en vez de la mitad).</t>
        </is>
      </c>
      <c r="K101" s="40" t="inlineStr">
        <is>
          <t>Carretillas (T020)</t>
        </is>
      </c>
      <c r="L101" s="41">
        <f>IF(C101=1,0,CHOOSE(C101-1,Reglas!$C$6,Reglas!$C$7,Reglas!$C$8,Reglas!$C$9))</f>
        <v/>
      </c>
      <c r="M101" s="41" t="inlineStr">
        <is>
          <t>Mía</t>
        </is>
      </c>
      <c r="N101" s="41" t="n">
        <v>3</v>
      </c>
      <c r="O101" s="41" t="inlineStr">
        <is>
          <t>Bajo</t>
        </is>
      </c>
      <c r="P101" s="40" t="inlineStr">
        <is>
          <t>Hace barato experimentar con edificios.</t>
        </is>
      </c>
      <c r="Q101" s="41" t="n"/>
    </row>
    <row r="102" ht="23.25" customHeight="1" s="27">
      <c r="A102" s="41" t="inlineStr">
        <is>
          <t>T101</t>
        </is>
      </c>
      <c r="B102" s="42" t="inlineStr">
        <is>
          <t>Estandarización</t>
        </is>
      </c>
      <c r="C102" s="41" t="n">
        <v>4</v>
      </c>
      <c r="D102" s="41">
        <f>IF(Q102="Sí",0,C102*Reglas!$C$5)</f>
        <v/>
      </c>
      <c r="E102" s="40" t="inlineStr">
        <is>
          <t>Construcción</t>
        </is>
      </c>
      <c r="F102" s="40" t="inlineStr">
        <is>
          <t>Urbanismo</t>
        </is>
      </c>
      <c r="G102" s="41" t="inlineStr">
        <is>
          <t>Opcional</t>
        </is>
      </c>
      <c r="H102" s="40" t="inlineStr">
        <is>
          <t>Edificios</t>
        </is>
      </c>
      <c r="I102" s="40" t="inlineStr">
        <is>
          <t>Mejora de edificio</t>
        </is>
      </c>
      <c r="J102" s="40" t="inlineStr">
        <is>
          <t>Construir o mejorar edificios cuesta 10 de producción menos (mínimo 10).</t>
        </is>
      </c>
      <c r="K102" s="40" t="inlineStr">
        <is>
          <t>Cuadrillas de obra (T092); Reciclaje (T100)</t>
        </is>
      </c>
      <c r="L102" s="41">
        <f>IF(C102=1,0,CHOOSE(C102-1,Reglas!$C$6,Reglas!$C$7,Reglas!$C$8,Reglas!$C$9))</f>
        <v/>
      </c>
      <c r="M102" s="41" t="inlineStr">
        <is>
          <t>Mía</t>
        </is>
      </c>
      <c r="N102" s="41" t="n">
        <v>2</v>
      </c>
      <c r="O102" s="41" t="inlineStr">
        <is>
          <t>Medio</t>
        </is>
      </c>
      <c r="P102" s="40" t="inlineStr">
        <is>
          <t>Ahorra la mitad del costo de un edificio de nivel 1 (20 a 10); considerar un porcentaje.</t>
        </is>
      </c>
      <c r="Q102" s="41" t="n"/>
    </row>
    <row r="103" ht="23.25" customHeight="1" s="27">
      <c r="A103" s="41" t="inlineStr">
        <is>
          <t>T102</t>
        </is>
      </c>
      <c r="B103" s="42" t="inlineStr">
        <is>
          <t>Canteras reales</t>
        </is>
      </c>
      <c r="C103" s="41" t="n">
        <v>5</v>
      </c>
      <c r="D103" s="41">
        <f>IF(Q103="Sí",0,C103*Reglas!$C$5)</f>
        <v/>
      </c>
      <c r="E103" s="40" t="inlineStr">
        <is>
          <t>Construcción</t>
        </is>
      </c>
      <c r="F103" s="40" t="inlineStr">
        <is>
          <t>Urbanismo</t>
        </is>
      </c>
      <c r="G103" s="41" t="inlineStr">
        <is>
          <t>Opcional</t>
        </is>
      </c>
      <c r="H103" s="40" t="inlineStr">
        <is>
          <t>Maravilla</t>
        </is>
      </c>
      <c r="I103" s="40" t="inlineStr">
        <is>
          <t>Mejora de edificio</t>
        </is>
      </c>
      <c r="J103" s="40" t="inlineStr">
        <is>
          <t>Las Maravillas cuestan 400 de producción (en vez de 500).</t>
        </is>
      </c>
      <c r="K103" s="40" t="inlineStr">
        <is>
          <t>Almacén de producción III (T087); Grúas (T096)</t>
        </is>
      </c>
      <c r="L103" s="41">
        <f>IF(C103=1,0,CHOOSE(C103-1,Reglas!$C$6,Reglas!$C$7,Reglas!$C$8,Reglas!$C$9))</f>
        <v/>
      </c>
      <c r="M103" s="41" t="inlineStr">
        <is>
          <t>Mía</t>
        </is>
      </c>
      <c r="N103" s="41" t="n">
        <v>2</v>
      </c>
      <c r="O103" s="41" t="inlineStr">
        <is>
          <t>Alto</t>
        </is>
      </c>
      <c r="P103" s="40" t="inlineStr">
        <is>
          <t>Ventaja directa a la victoria por Maravillas: tres cuestan 1200. Solo sirve si también tienes Maravillas. Considerar limitarla o quitarla.</t>
        </is>
      </c>
      <c r="Q103" s="41" t="n"/>
    </row>
    <row r="104" ht="23.25" customHeight="1" s="27">
      <c r="A104" s="41" t="inlineStr">
        <is>
          <t>T103</t>
        </is>
      </c>
      <c r="B104" s="42" t="inlineStr">
        <is>
          <t>Guardianes de la maravilla</t>
        </is>
      </c>
      <c r="C104" s="41" t="n">
        <v>5</v>
      </c>
      <c r="D104" s="41">
        <f>IF(Q104="Sí",0,C104*Reglas!$C$5)</f>
        <v/>
      </c>
      <c r="E104" s="40" t="inlineStr">
        <is>
          <t>Construcción</t>
        </is>
      </c>
      <c r="F104" s="40" t="inlineStr">
        <is>
          <t>Urbanismo</t>
        </is>
      </c>
      <c r="G104" s="41" t="inlineStr">
        <is>
          <t>Opcional</t>
        </is>
      </c>
      <c r="H104" s="40" t="inlineStr">
        <is>
          <t>Maravilla</t>
        </is>
      </c>
      <c r="I104" s="40" t="inlineStr">
        <is>
          <t>Mejora de edificio</t>
        </is>
      </c>
      <c r="J104" s="40" t="inlineStr">
        <is>
          <t>Los defensores de una zona con Maravilla tienen +2 de defensa.</t>
        </is>
      </c>
      <c r="K104" s="40" t="inlineStr">
        <is>
          <t>Torres de vigilancia (T175); Murallas altas (T176)</t>
        </is>
      </c>
      <c r="L104" s="41">
        <f>IF(C104=1,0,CHOOSE(C104-1,Reglas!$C$6,Reglas!$C$7,Reglas!$C$8,Reglas!$C$9))</f>
        <v/>
      </c>
      <c r="M104" s="41" t="inlineStr">
        <is>
          <t>Mía</t>
        </is>
      </c>
      <c r="N104" s="41" t="n">
        <v>3</v>
      </c>
      <c r="O104" s="41" t="inlineStr">
        <is>
          <t>Medio</t>
        </is>
      </c>
      <c r="P104" s="40" t="inlineStr">
        <is>
          <t>Protege la apuesta más cara del juego. Hace más difícil el contrataque natural contra quien va ganando.</t>
        </is>
      </c>
      <c r="Q104" s="41" t="n"/>
    </row>
    <row r="105" ht="15" customHeight="1" s="27">
      <c r="A105" s="41" t="inlineStr">
        <is>
          <t>T104</t>
        </is>
      </c>
      <c r="B105" s="42" t="inlineStr">
        <is>
          <t>Dominio del terreno</t>
        </is>
      </c>
      <c r="C105" s="41" t="n">
        <v>5</v>
      </c>
      <c r="D105" s="41">
        <f>IF(Q105="Sí",0,C105*Reglas!$C$5)</f>
        <v/>
      </c>
      <c r="E105" s="40" t="inlineStr">
        <is>
          <t>Civil</t>
        </is>
      </c>
      <c r="F105" s="40" t="inlineStr">
        <is>
          <t>Urbanismo</t>
        </is>
      </c>
      <c r="G105" s="41" t="inlineStr">
        <is>
          <t>Opcional</t>
        </is>
      </c>
      <c r="H105" s="40" t="inlineStr">
        <is>
          <t>Terreno y eventos</t>
        </is>
      </c>
      <c r="I105" s="40" t="inlineStr">
        <is>
          <t>Terreno</t>
        </is>
      </c>
      <c r="J105" s="40" t="inlineStr">
        <is>
          <t>Todos los bonos económicos de terreno se duplican.</t>
        </is>
      </c>
      <c r="K105" s="40" t="inlineStr">
        <is>
          <t>Terrazas (T027); Canteras de colina (T099)</t>
        </is>
      </c>
      <c r="L105" s="41">
        <f>IF(C105=1,0,CHOOSE(C105-1,Reglas!$C$6,Reglas!$C$7,Reglas!$C$8,Reglas!$C$9))</f>
        <v/>
      </c>
      <c r="M105" s="41" t="inlineStr">
        <is>
          <t>Mía</t>
        </is>
      </c>
      <c r="N105" s="41" t="n">
        <v>2</v>
      </c>
      <c r="O105" s="41" t="inlineStr">
        <is>
          <t>Alto</t>
        </is>
      </c>
      <c r="P105" s="40" t="inlineStr">
        <is>
          <t>Fuerte y simple, pero puede volver decisivas las zonas con buen terreno.</t>
        </is>
      </c>
      <c r="Q105" s="41" t="n"/>
    </row>
    <row r="106" ht="23.25" customHeight="1" s="27">
      <c r="A106" s="38" t="inlineStr">
        <is>
          <t>T105</t>
        </is>
      </c>
      <c r="B106" s="39" t="inlineStr">
        <is>
          <t>Hospitales</t>
        </is>
      </c>
      <c r="C106" s="38" t="n">
        <v>1</v>
      </c>
      <c r="D106" s="38">
        <f>IF(Q106="Sí",0,C106*Reglas!$C$5)</f>
        <v/>
      </c>
      <c r="E106" s="40" t="inlineStr">
        <is>
          <t>Construcción</t>
        </is>
      </c>
      <c r="F106" s="40" t="inlineStr">
        <is>
          <t>Sanidad y población</t>
        </is>
      </c>
      <c r="G106" s="38" t="inlineStr">
        <is>
          <t>Vertebral</t>
        </is>
      </c>
      <c r="H106" s="40" t="inlineStr">
        <is>
          <t>Hospital</t>
        </is>
      </c>
      <c r="I106" s="40" t="inlineStr">
        <is>
          <t>Desbloqueo de edificio</t>
        </is>
      </c>
      <c r="J106" s="40" t="inlineStr">
        <is>
          <t>Permite construir el Hospital: los heridos de la zona se curan en la mitad de rondas (redondeando hacia arriba).</t>
        </is>
      </c>
      <c r="K106" s="40" t="inlineStr">
        <is>
          <t>—</t>
        </is>
      </c>
      <c r="L106" s="41">
        <f>IF(C106=1,0,CHOOSE(C106-1,Reglas!$C$6,Reglas!$C$7,Reglas!$C$8,Reglas!$C$9))</f>
        <v/>
      </c>
      <c r="M106" s="41" t="inlineStr">
        <is>
          <t>Tuya</t>
        </is>
      </c>
      <c r="N106" s="41" t="n">
        <v>5</v>
      </c>
      <c r="O106" s="41" t="inlineStr">
        <is>
          <t>Bajo</t>
        </is>
      </c>
      <c r="P106" s="40" t="inlineStr">
        <is>
          <t>Hace que las heridas duelan menos y vuelve atractivo pelear cerca de un hospital.</t>
        </is>
      </c>
      <c r="Q106" s="41" t="inlineStr">
        <is>
          <t>Sí</t>
        </is>
      </c>
    </row>
    <row r="107" ht="15" customHeight="1" s="27">
      <c r="A107" s="38" t="inlineStr">
        <is>
          <t>T106</t>
        </is>
      </c>
      <c r="B107" s="39" t="inlineStr">
        <is>
          <t>Parteras</t>
        </is>
      </c>
      <c r="C107" s="38" t="n">
        <v>1</v>
      </c>
      <c r="D107" s="38">
        <f>IF(Q107="Sí",0,C107*Reglas!$C$5)</f>
        <v/>
      </c>
      <c r="E107" s="40" t="inlineStr">
        <is>
          <t>Civil</t>
        </is>
      </c>
      <c r="F107" s="40" t="inlineStr">
        <is>
          <t>Sanidad y población</t>
        </is>
      </c>
      <c r="G107" s="38" t="inlineStr">
        <is>
          <t>Vertebral</t>
        </is>
      </c>
      <c r="H107" s="40" t="inlineStr">
        <is>
          <t>Población</t>
        </is>
      </c>
      <c r="I107" s="40" t="inlineStr">
        <is>
          <t>Población</t>
        </is>
      </c>
      <c r="J107" s="40" t="inlineStr">
        <is>
          <t>El crecimiento de población cuesta 1 menos de comida (mínimo 1).</t>
        </is>
      </c>
      <c r="K107" s="40" t="inlineStr">
        <is>
          <t>—</t>
        </is>
      </c>
      <c r="L107" s="41">
        <f>IF(C107=1,0,CHOOSE(C107-1,Reglas!$C$6,Reglas!$C$7,Reglas!$C$8,Reglas!$C$9))</f>
        <v/>
      </c>
      <c r="M107" s="41" t="inlineStr">
        <is>
          <t>Mía</t>
        </is>
      </c>
      <c r="N107" s="41" t="n">
        <v>4</v>
      </c>
      <c r="O107" s="41" t="inlineStr">
        <is>
          <t>Bajo</t>
        </is>
      </c>
      <c r="P107" s="40" t="inlineStr">
        <is>
          <t>Pequeño ahorro desde el principio: ayuda a empezar a crecer.</t>
        </is>
      </c>
      <c r="Q107" s="41" t="n"/>
    </row>
    <row r="108" ht="23.25" customHeight="1" s="27">
      <c r="A108" s="38" t="inlineStr">
        <is>
          <t>T107</t>
        </is>
      </c>
      <c r="B108" s="39" t="inlineStr">
        <is>
          <t>Hospital civil I</t>
        </is>
      </c>
      <c r="C108" s="38" t="n">
        <v>2</v>
      </c>
      <c r="D108" s="38">
        <f>IF(Q108="Sí",0,C108*Reglas!$C$5)</f>
        <v/>
      </c>
      <c r="E108" s="40" t="inlineStr">
        <is>
          <t>Construcción</t>
        </is>
      </c>
      <c r="F108" s="40" t="inlineStr">
        <is>
          <t>Sanidad y población</t>
        </is>
      </c>
      <c r="G108" s="38" t="inlineStr">
        <is>
          <t>Vertebral</t>
        </is>
      </c>
      <c r="H108" s="40" t="inlineStr">
        <is>
          <t>Hospital</t>
        </is>
      </c>
      <c r="I108" s="40" t="inlineStr">
        <is>
          <t>Especialización de edificio</t>
        </is>
      </c>
      <c r="J108" s="40" t="inlineStr">
        <is>
          <t>Esp.: los civiles, después de ser curados, tienen su eficiencia (cuánto producen o usan) duplicada durante dos rondas.</t>
        </is>
      </c>
      <c r="K108" s="40" t="inlineStr">
        <is>
          <t>Hospitales (T105)</t>
        </is>
      </c>
      <c r="L108" s="41">
        <f>IF(C108=1,0,CHOOSE(C108-1,Reglas!$C$6,Reglas!$C$7,Reglas!$C$8,Reglas!$C$9))</f>
        <v/>
      </c>
      <c r="M108" s="41" t="inlineStr">
        <is>
          <t>Tuya</t>
        </is>
      </c>
      <c r="N108" s="41" t="n">
        <v>4</v>
      </c>
      <c r="O108" s="41" t="inlineStr">
        <is>
          <t>Medio</t>
        </is>
      </c>
      <c r="P108" s="40" t="inlineStr">
        <is>
          <t>Buen incentivo para curar civiles. Puede ser muy fuerte si los curados son científicos o ingenieros.</t>
        </is>
      </c>
      <c r="Q108" s="41" t="n"/>
    </row>
    <row r="109" ht="23.25" customHeight="1" s="27">
      <c r="A109" s="38" t="inlineStr">
        <is>
          <t>T108</t>
        </is>
      </c>
      <c r="B109" s="39" t="inlineStr">
        <is>
          <t>Familias numerosas</t>
        </is>
      </c>
      <c r="C109" s="38" t="n">
        <v>2</v>
      </c>
      <c r="D109" s="38">
        <f>IF(Q109="Sí",0,C109*Reglas!$C$5)</f>
        <v/>
      </c>
      <c r="E109" s="40" t="inlineStr">
        <is>
          <t>Civil</t>
        </is>
      </c>
      <c r="F109" s="40" t="inlineStr">
        <is>
          <t>Sanidad y población</t>
        </is>
      </c>
      <c r="G109" s="38" t="inlineStr">
        <is>
          <t>Vertebral</t>
        </is>
      </c>
      <c r="H109" s="40" t="inlineStr">
        <is>
          <t>Población</t>
        </is>
      </c>
      <c r="I109" s="40" t="inlineStr">
        <is>
          <t>Población</t>
        </is>
      </c>
      <c r="J109" s="40" t="inlineStr">
        <is>
          <t>El crecimiento de población cuesta 2 menos de comida (total, reemplaza al anterior).</t>
        </is>
      </c>
      <c r="K109" s="40" t="inlineStr">
        <is>
          <t>Parteras (T106)</t>
        </is>
      </c>
      <c r="L109" s="41">
        <f>IF(C109=1,0,CHOOSE(C109-1,Reglas!$C$6,Reglas!$C$7,Reglas!$C$8,Reglas!$C$9))</f>
        <v/>
      </c>
      <c r="M109" s="41" t="inlineStr">
        <is>
          <t>Mía</t>
        </is>
      </c>
      <c r="N109" s="41" t="n">
        <v>4</v>
      </c>
      <c r="O109" s="41" t="inlineStr">
        <is>
          <t>Bajo</t>
        </is>
      </c>
      <c r="P109" s="40" t="inlineStr">
        <is>
          <t>Premia seguir la rama. Hace falta ver cómo se combina con Edad de oro.</t>
        </is>
      </c>
      <c r="Q109" s="41" t="n"/>
    </row>
    <row r="110" ht="23.25" customHeight="1" s="27">
      <c r="A110" s="38" t="inlineStr">
        <is>
          <t>T109</t>
        </is>
      </c>
      <c r="B110" s="39" t="inlineStr">
        <is>
          <t>Hospital civil II</t>
        </is>
      </c>
      <c r="C110" s="38" t="n">
        <v>3</v>
      </c>
      <c r="D110" s="38">
        <f>IF(Q110="Sí",0,C110*Reglas!$C$5)</f>
        <v/>
      </c>
      <c r="E110" s="40" t="inlineStr">
        <is>
          <t>Construcción</t>
        </is>
      </c>
      <c r="F110" s="40" t="inlineStr">
        <is>
          <t>Sanidad y población</t>
        </is>
      </c>
      <c r="G110" s="38" t="inlineStr">
        <is>
          <t>Vertebral</t>
        </is>
      </c>
      <c r="H110" s="40" t="inlineStr">
        <is>
          <t>Hospital</t>
        </is>
      </c>
      <c r="I110" s="40" t="inlineStr">
        <is>
          <t>Especialización de edificio</t>
        </is>
      </c>
      <c r="J110" s="40" t="inlineStr">
        <is>
          <t>Esp.: los civiles se curan en una ronda, sin importar el daño.</t>
        </is>
      </c>
      <c r="K110" s="40" t="inlineStr">
        <is>
          <t>Hospital civil I (T107)</t>
        </is>
      </c>
      <c r="L110" s="41">
        <f>IF(C110=1,0,CHOOSE(C110-1,Reglas!$C$6,Reglas!$C$7,Reglas!$C$8,Reglas!$C$9))</f>
        <v/>
      </c>
      <c r="M110" s="41" t="inlineStr">
        <is>
          <t>Tuya</t>
        </is>
      </c>
      <c r="N110" s="41" t="n">
        <v>4</v>
      </c>
      <c r="O110" s="41" t="inlineStr">
        <is>
          <t>Medio</t>
        </is>
      </c>
      <c r="P110" s="40" t="inlineStr">
        <is>
          <t>Casi anula el costo de las heridas civiles. Combina muy bien con el sistema de capturas.</t>
        </is>
      </c>
      <c r="Q110" s="41" t="n"/>
    </row>
    <row r="111" ht="15" customHeight="1" s="27">
      <c r="A111" s="38" t="inlineStr">
        <is>
          <t>T110</t>
        </is>
      </c>
      <c r="B111" s="39" t="inlineStr">
        <is>
          <t>Hospital civil III</t>
        </is>
      </c>
      <c r="C111" s="38" t="n">
        <v>4</v>
      </c>
      <c r="D111" s="38">
        <f>IF(Q111="Sí",0,C111*Reglas!$C$5)</f>
        <v/>
      </c>
      <c r="E111" s="40" t="inlineStr">
        <is>
          <t>Construcción</t>
        </is>
      </c>
      <c r="F111" s="40" t="inlineStr">
        <is>
          <t>Sanidad y población</t>
        </is>
      </c>
      <c r="G111" s="38" t="inlineStr">
        <is>
          <t>Vertebral</t>
        </is>
      </c>
      <c r="H111" s="40" t="inlineStr">
        <is>
          <t>Hospital</t>
        </is>
      </c>
      <c r="I111" s="40" t="inlineStr">
        <is>
          <t>Especialización de edificio</t>
        </is>
      </c>
      <c r="J111" s="40" t="inlineStr">
        <is>
          <t>Esp.: todos los civiles de esta ciudad aumentan su eficiencia en 1.</t>
        </is>
      </c>
      <c r="K111" s="40" t="inlineStr">
        <is>
          <t>Hospital civil II (T109)</t>
        </is>
      </c>
      <c r="L111" s="41">
        <f>IF(C111=1,0,CHOOSE(C111-1,Reglas!$C$6,Reglas!$C$7,Reglas!$C$8,Reglas!$C$9))</f>
        <v/>
      </c>
      <c r="M111" s="41" t="inlineStr">
        <is>
          <t>Tuya</t>
        </is>
      </c>
      <c r="N111" s="41" t="n">
        <v>4</v>
      </c>
      <c r="O111" s="41" t="inlineStr">
        <is>
          <t>Medio</t>
        </is>
      </c>
      <c r="P111" s="40" t="inlineStr">
        <is>
          <t>Es más un edificio económico que un hospital. Buen cierre para la rama civil.</t>
        </is>
      </c>
      <c r="Q111" s="41" t="n"/>
    </row>
    <row r="112" ht="23.25" customHeight="1" s="27">
      <c r="A112" s="38" t="inlineStr">
        <is>
          <t>T111</t>
        </is>
      </c>
      <c r="B112" s="39" t="inlineStr">
        <is>
          <t>Hospital imperial</t>
        </is>
      </c>
      <c r="C112" s="38" t="n">
        <v>5</v>
      </c>
      <c r="D112" s="38">
        <f>IF(Q112="Sí",0,C112*Reglas!$C$5)</f>
        <v/>
      </c>
      <c r="E112" s="40" t="inlineStr">
        <is>
          <t>Construcción</t>
        </is>
      </c>
      <c r="F112" s="40" t="inlineStr">
        <is>
          <t>Sanidad y población</t>
        </is>
      </c>
      <c r="G112" s="38" t="inlineStr">
        <is>
          <t>Vertebral</t>
        </is>
      </c>
      <c r="H112" s="40" t="inlineStr">
        <is>
          <t>Hospital</t>
        </is>
      </c>
      <c r="I112" s="40" t="inlineStr">
        <is>
          <t>Mejora de edificio</t>
        </is>
      </c>
      <c r="J112" s="40" t="inlineStr">
        <is>
          <t>Desbloquea Las Termas de la Salud, la maravilla de Sanidad y población (única en la partida): todas tus unidades tienen 2 de vida más mientras controles su zona. Solo se puede investigar si nadie la ha construido.</t>
        </is>
      </c>
      <c r="K112" s="40" t="inlineStr">
        <is>
          <t>Hospital civil III (T110)</t>
        </is>
      </c>
      <c r="L112" s="41">
        <f>IF(C112=1,0,CHOOSE(C112-1,Reglas!$C$6,Reglas!$C$7,Reglas!$C$8,Reglas!$C$9))</f>
        <v/>
      </c>
      <c r="M112" s="41" t="inlineStr">
        <is>
          <t>Tuya</t>
        </is>
      </c>
      <c r="N112" s="41" t="n">
        <v>2</v>
      </c>
      <c r="O112" s="41" t="inlineStr">
        <is>
          <t>Alto</t>
        </is>
      </c>
      <c r="P112" s="40" t="inlineStr">
        <is>
          <t>Por sí sola no da su efecto: lo da la maravilla. Si otro la termina antes, pierdes la obra y recuperas la mitad de la producción, pero conservas la tecnología (cuenta para la victoria tecnológica).</t>
        </is>
      </c>
      <c r="Q112" s="41" t="n"/>
    </row>
    <row r="113" ht="23.25" customHeight="1" s="27">
      <c r="A113" s="41" t="inlineStr">
        <is>
          <t>T112</t>
        </is>
      </c>
      <c r="B113" s="42" t="inlineStr">
        <is>
          <t>Hospital militar I</t>
        </is>
      </c>
      <c r="C113" s="41" t="n">
        <v>2</v>
      </c>
      <c r="D113" s="41">
        <f>IF(Q113="Sí",0,C113*Reglas!$C$5)</f>
        <v/>
      </c>
      <c r="E113" s="40" t="inlineStr">
        <is>
          <t>Construcción</t>
        </is>
      </c>
      <c r="F113" s="40" t="inlineStr">
        <is>
          <t>Sanidad y población</t>
        </is>
      </c>
      <c r="G113" s="41" t="inlineStr">
        <is>
          <t>Opcional</t>
        </is>
      </c>
      <c r="H113" s="40" t="inlineStr">
        <is>
          <t>Hospital</t>
        </is>
      </c>
      <c r="I113" s="40" t="inlineStr">
        <is>
          <t>Especialización de edificio</t>
        </is>
      </c>
      <c r="J113" s="40" t="inlineStr">
        <is>
          <t>Esp.: los militares obtienen +1 de fuerza de combate durante dos rondas después de ser curados.</t>
        </is>
      </c>
      <c r="K113" s="40" t="inlineStr">
        <is>
          <t>Hospitales (T105)</t>
        </is>
      </c>
      <c r="L113" s="41">
        <f>IF(C113=1,0,CHOOSE(C113-1,Reglas!$C$6,Reglas!$C$7,Reglas!$C$8,Reglas!$C$9))</f>
        <v/>
      </c>
      <c r="M113" s="41" t="inlineStr">
        <is>
          <t>Tuya</t>
        </is>
      </c>
      <c r="N113" s="41" t="n">
        <v>4</v>
      </c>
      <c r="O113" s="41" t="inlineStr">
        <is>
          <t>Medio</t>
        </is>
      </c>
      <c r="P113" s="40" t="inlineStr">
        <is>
          <t>Interesante para mantener un hospital cerca del frente. Recordar que la fuerza máxima por defecto es 4.</t>
        </is>
      </c>
      <c r="Q113" s="41" t="n"/>
    </row>
    <row r="114" ht="15" customHeight="1" s="27">
      <c r="A114" s="41" t="inlineStr">
        <is>
          <t>T113</t>
        </is>
      </c>
      <c r="B114" s="42" t="inlineStr">
        <is>
          <t>Medicina popular</t>
        </is>
      </c>
      <c r="C114" s="41" t="n">
        <v>2</v>
      </c>
      <c r="D114" s="41">
        <f>IF(Q114="Sí",0,C114*Reglas!$C$5)</f>
        <v/>
      </c>
      <c r="E114" s="40" t="inlineStr">
        <is>
          <t>Civil</t>
        </is>
      </c>
      <c r="F114" s="40" t="inlineStr">
        <is>
          <t>Sanidad y población</t>
        </is>
      </c>
      <c r="G114" s="41" t="inlineStr">
        <is>
          <t>Opcional</t>
        </is>
      </c>
      <c r="H114" s="40" t="inlineStr">
        <is>
          <t>Población</t>
        </is>
      </c>
      <c r="I114" s="40" t="inlineStr">
        <is>
          <t>Población</t>
        </is>
      </c>
      <c r="J114" s="40" t="inlineStr">
        <is>
          <t>Los civiles heridos se curan una ronda más rápido (mínimo 1).</t>
        </is>
      </c>
      <c r="K114" s="40" t="inlineStr">
        <is>
          <t>Parteras (T106)</t>
        </is>
      </c>
      <c r="L114" s="41">
        <f>IF(C114=1,0,CHOOSE(C114-1,Reglas!$C$6,Reglas!$C$7,Reglas!$C$8,Reglas!$C$9))</f>
        <v/>
      </c>
      <c r="M114" s="41" t="inlineStr">
        <is>
          <t>Mía</t>
        </is>
      </c>
      <c r="N114" s="41" t="n">
        <v>3</v>
      </c>
      <c r="O114" s="41" t="inlineStr">
        <is>
          <t>Medio</t>
        </is>
      </c>
      <c r="P114" s="40" t="inlineStr">
        <is>
          <t>Ahorra poco al inicio, pero es útil si hay muchos combates.</t>
        </is>
      </c>
      <c r="Q114" s="41" t="n"/>
    </row>
    <row r="115" ht="15" customHeight="1" s="27">
      <c r="A115" s="41" t="inlineStr">
        <is>
          <t>T114</t>
        </is>
      </c>
      <c r="B115" s="42" t="inlineStr">
        <is>
          <t>Colonos</t>
        </is>
      </c>
      <c r="C115" s="41" t="n">
        <v>2</v>
      </c>
      <c r="D115" s="41">
        <f>IF(Q115="Sí",0,C115*Reglas!$C$5)</f>
        <v/>
      </c>
      <c r="E115" s="40" t="inlineStr">
        <is>
          <t>Civil</t>
        </is>
      </c>
      <c r="F115" s="40" t="inlineStr">
        <is>
          <t>Sanidad y población</t>
        </is>
      </c>
      <c r="G115" s="41" t="inlineStr">
        <is>
          <t>Opcional</t>
        </is>
      </c>
      <c r="H115" s="40" t="inlineStr">
        <is>
          <t>Población</t>
        </is>
      </c>
      <c r="I115" s="40" t="inlineStr">
        <is>
          <t>Población</t>
        </is>
      </c>
      <c r="J115" s="40" t="inlineStr">
        <is>
          <t>Las zonas vacías que ocupes reciben 2 civiles gratis.</t>
        </is>
      </c>
      <c r="K115" s="40" t="inlineStr">
        <is>
          <t>Parteras (T106)</t>
        </is>
      </c>
      <c r="L115" s="41">
        <f>IF(C115=1,0,CHOOSE(C115-1,Reglas!$C$6,Reglas!$C$7,Reglas!$C$8,Reglas!$C$9))</f>
        <v/>
      </c>
      <c r="M115" s="41" t="inlineStr">
        <is>
          <t>Mía</t>
        </is>
      </c>
      <c r="N115" s="41" t="n">
        <v>4</v>
      </c>
      <c r="O115" s="41" t="inlineStr">
        <is>
          <t>Bajo</t>
        </is>
      </c>
      <c r="P115" s="40" t="inlineStr">
        <is>
          <t>Impulsa la expansión, que era uno de los objetivos del diseño.</t>
        </is>
      </c>
      <c r="Q115" s="41" t="n"/>
    </row>
    <row r="116" ht="23.25" customHeight="1" s="27">
      <c r="A116" s="41" t="inlineStr">
        <is>
          <t>T115</t>
        </is>
      </c>
      <c r="B116" s="42" t="inlineStr">
        <is>
          <t>Hospital militar II</t>
        </is>
      </c>
      <c r="C116" s="41" t="n">
        <v>3</v>
      </c>
      <c r="D116" s="41">
        <f>IF(Q116="Sí",0,C116*Reglas!$C$5)</f>
        <v/>
      </c>
      <c r="E116" s="40" t="inlineStr">
        <is>
          <t>Construcción</t>
        </is>
      </c>
      <c r="F116" s="40" t="inlineStr">
        <is>
          <t>Sanidad y población</t>
        </is>
      </c>
      <c r="G116" s="41" t="inlineStr">
        <is>
          <t>Opcional</t>
        </is>
      </c>
      <c r="H116" s="40" t="inlineStr">
        <is>
          <t>Hospital</t>
        </is>
      </c>
      <c r="I116" s="40" t="inlineStr">
        <is>
          <t>Especialización de edificio</t>
        </is>
      </c>
      <c r="J116" s="40" t="inlineStr">
        <is>
          <t>Esp.: los militares se curan en una ronda, sin importar el daño.</t>
        </is>
      </c>
      <c r="K116" s="40" t="inlineStr">
        <is>
          <t>Hospital militar I (T112)</t>
        </is>
      </c>
      <c r="L116" s="41">
        <f>IF(C116=1,0,CHOOSE(C116-1,Reglas!$C$6,Reglas!$C$7,Reglas!$C$8,Reglas!$C$9))</f>
        <v/>
      </c>
      <c r="M116" s="41" t="inlineStr">
        <is>
          <t>Tuya</t>
        </is>
      </c>
      <c r="N116" s="41" t="n">
        <v>4</v>
      </c>
      <c r="O116" s="41" t="inlineStr">
        <is>
          <t>Medio</t>
        </is>
      </c>
      <c r="P116" s="40" t="inlineStr">
        <is>
          <t>Muy fuerte en guerras largas: elimina el tiempo de recuperación. Hace que el hospital sea un objetivo clave.</t>
        </is>
      </c>
      <c r="Q116" s="41" t="n"/>
    </row>
    <row r="117" ht="23.25" customHeight="1" s="27">
      <c r="A117" s="41" t="inlineStr">
        <is>
          <t>T116</t>
        </is>
      </c>
      <c r="B117" s="42" t="inlineStr">
        <is>
          <t>Migraciones guiadas</t>
        </is>
      </c>
      <c r="C117" s="41" t="n">
        <v>3</v>
      </c>
      <c r="D117" s="41">
        <f>IF(Q117="Sí",0,C117*Reglas!$C$5)</f>
        <v/>
      </c>
      <c r="E117" s="40" t="inlineStr">
        <is>
          <t>Civil</t>
        </is>
      </c>
      <c r="F117" s="40" t="inlineStr">
        <is>
          <t>Sanidad y población</t>
        </is>
      </c>
      <c r="G117" s="41" t="inlineStr">
        <is>
          <t>Opcional</t>
        </is>
      </c>
      <c r="H117" s="40" t="inlineStr">
        <is>
          <t>Población</t>
        </is>
      </c>
      <c r="I117" s="40" t="inlineStr">
        <is>
          <t>Población</t>
        </is>
      </c>
      <c r="J117" s="40" t="inlineStr">
        <is>
          <t>Los civiles que se mueven entre tus zonas adyacentes producen la mitad ese paso (en vez de nada).</t>
        </is>
      </c>
      <c r="K117" s="40" t="inlineStr">
        <is>
          <t>Familias numerosas (T108)</t>
        </is>
      </c>
      <c r="L117" s="41">
        <f>IF(C117=1,0,CHOOSE(C117-1,Reglas!$C$6,Reglas!$C$7,Reglas!$C$8,Reglas!$C$9))</f>
        <v/>
      </c>
      <c r="M117" s="41" t="inlineStr">
        <is>
          <t>Mía</t>
        </is>
      </c>
      <c r="N117" s="41" t="n">
        <v>3</v>
      </c>
      <c r="O117" s="41" t="inlineStr">
        <is>
          <t>Bajo</t>
        </is>
      </c>
      <c r="P117" s="40" t="inlineStr">
        <is>
          <t>Reduce una regla que pareció importante. Vigilar que no deje a los civiles demasiado móviles.</t>
        </is>
      </c>
      <c r="Q117" s="41" t="n"/>
    </row>
    <row r="118" ht="15" customHeight="1" s="27">
      <c r="A118" s="41" t="inlineStr">
        <is>
          <t>T117</t>
        </is>
      </c>
      <c r="B118" s="42" t="inlineStr">
        <is>
          <t>Pobladores resistentes</t>
        </is>
      </c>
      <c r="C118" s="41" t="n">
        <v>3</v>
      </c>
      <c r="D118" s="41">
        <f>IF(Q118="Sí",0,C118*Reglas!$C$5)</f>
        <v/>
      </c>
      <c r="E118" s="40" t="inlineStr">
        <is>
          <t>Civil</t>
        </is>
      </c>
      <c r="F118" s="40" t="inlineStr">
        <is>
          <t>Sanidad y población</t>
        </is>
      </c>
      <c r="G118" s="41" t="inlineStr">
        <is>
          <t>Opcional</t>
        </is>
      </c>
      <c r="H118" s="40" t="inlineStr">
        <is>
          <t>Población</t>
        </is>
      </c>
      <c r="I118" s="40" t="inlineStr">
        <is>
          <t>Población</t>
        </is>
      </c>
      <c r="J118" s="40" t="inlineStr">
        <is>
          <t>Los civiles tienen +1 de vida.</t>
        </is>
      </c>
      <c r="K118" s="40" t="inlineStr">
        <is>
          <t>Medicina popular (T113)</t>
        </is>
      </c>
      <c r="L118" s="41">
        <f>IF(C118=1,0,CHOOSE(C118-1,Reglas!$C$6,Reglas!$C$7,Reglas!$C$8,Reglas!$C$9))</f>
        <v/>
      </c>
      <c r="M118" s="41" t="inlineStr">
        <is>
          <t>Mía</t>
        </is>
      </c>
      <c r="N118" s="41" t="n">
        <v>2</v>
      </c>
      <c r="O118" s="41" t="inlineStr">
        <is>
          <t>Alto</t>
        </is>
      </c>
      <c r="P118" s="40" t="inlineStr">
        <is>
          <t>Afecta mucho las capturas: con 4 de vida, capturar pueblos cuesta más.</t>
        </is>
      </c>
      <c r="Q118" s="41" t="n"/>
    </row>
    <row r="119" ht="23.25" customHeight="1" s="27">
      <c r="A119" s="41" t="inlineStr">
        <is>
          <t>T118</t>
        </is>
      </c>
      <c r="B119" s="42" t="inlineStr">
        <is>
          <t>Medicina avanzada</t>
        </is>
      </c>
      <c r="C119" s="41" t="n">
        <v>3</v>
      </c>
      <c r="D119" s="41">
        <f>IF(Q119="Sí",0,C119*Reglas!$C$5)</f>
        <v/>
      </c>
      <c r="E119" s="40" t="inlineStr">
        <is>
          <t>Civil</t>
        </is>
      </c>
      <c r="F119" s="40" t="inlineStr">
        <is>
          <t>Sanidad y población</t>
        </is>
      </c>
      <c r="G119" s="41" t="inlineStr">
        <is>
          <t>Opcional</t>
        </is>
      </c>
      <c r="H119" s="40" t="inlineStr">
        <is>
          <t>Población</t>
        </is>
      </c>
      <c r="I119" s="40" t="inlineStr">
        <is>
          <t>Población</t>
        </is>
      </c>
      <c r="J119" s="40" t="inlineStr">
        <is>
          <t>Los civiles heridos se curan en una ronda en todo el imperio (sin necesidad de Hospital).</t>
        </is>
      </c>
      <c r="K119" s="40" t="inlineStr">
        <is>
          <t>Medicina popular (T113)</t>
        </is>
      </c>
      <c r="L119" s="41">
        <f>IF(C119=1,0,CHOOSE(C119-1,Reglas!$C$6,Reglas!$C$7,Reglas!$C$8,Reglas!$C$9))</f>
        <v/>
      </c>
      <c r="M119" s="41" t="inlineStr">
        <is>
          <t>Mía</t>
        </is>
      </c>
      <c r="N119" s="41" t="n">
        <v>3</v>
      </c>
      <c r="O119" s="41" t="inlineStr">
        <is>
          <t>Medio</t>
        </is>
      </c>
      <c r="P119" s="40" t="inlineStr">
        <is>
          <t>Hace redundante al Hospital civil II; considerar fusionarlas.</t>
        </is>
      </c>
      <c r="Q119" s="41" t="n"/>
    </row>
    <row r="120" ht="15" customHeight="1" s="27">
      <c r="A120" s="41" t="inlineStr">
        <is>
          <t>T119</t>
        </is>
      </c>
      <c r="B120" s="42" t="inlineStr">
        <is>
          <t>Servicio médico de campaña</t>
        </is>
      </c>
      <c r="C120" s="41" t="n">
        <v>3</v>
      </c>
      <c r="D120" s="41">
        <f>IF(Q120="Sí",0,C120*Reglas!$C$5)</f>
        <v/>
      </c>
      <c r="E120" s="40" t="inlineStr">
        <is>
          <t>Militar</t>
        </is>
      </c>
      <c r="F120" s="40" t="inlineStr">
        <is>
          <t>Sanidad y población</t>
        </is>
      </c>
      <c r="G120" s="41" t="inlineStr">
        <is>
          <t>Opcional</t>
        </is>
      </c>
      <c r="H120" s="40" t="inlineStr">
        <is>
          <t>Combate</t>
        </is>
      </c>
      <c r="I120" s="40" t="inlineStr">
        <is>
          <t>Combate</t>
        </is>
      </c>
      <c r="J120" s="40" t="inlineStr">
        <is>
          <t>Los militares heridos se curan una ronda más rápido (mínimo 1).</t>
        </is>
      </c>
      <c r="K120" s="40" t="inlineStr">
        <is>
          <t>Hospitales (T105)</t>
        </is>
      </c>
      <c r="L120" s="41">
        <f>IF(C120=1,0,CHOOSE(C120-1,Reglas!$C$6,Reglas!$C$7,Reglas!$C$8,Reglas!$C$9))</f>
        <v/>
      </c>
      <c r="M120" s="41" t="inlineStr">
        <is>
          <t>Mía</t>
        </is>
      </c>
      <c r="N120" s="41" t="n">
        <v>3</v>
      </c>
      <c r="O120" s="41" t="inlineStr">
        <is>
          <t>Bajo</t>
        </is>
      </c>
      <c r="P120" s="40" t="inlineStr">
        <is>
          <t>Ayuda en guerras largas.</t>
        </is>
      </c>
      <c r="Q120" s="41" t="n"/>
    </row>
    <row r="121" ht="23.25" customHeight="1" s="27">
      <c r="A121" s="41" t="inlineStr">
        <is>
          <t>T120</t>
        </is>
      </c>
      <c r="B121" s="42" t="inlineStr">
        <is>
          <t>Hospital militar III</t>
        </is>
      </c>
      <c r="C121" s="41" t="n">
        <v>4</v>
      </c>
      <c r="D121" s="41">
        <f>IF(Q121="Sí",0,C121*Reglas!$C$5)</f>
        <v/>
      </c>
      <c r="E121" s="40" t="inlineStr">
        <is>
          <t>Construcción</t>
        </is>
      </c>
      <c r="F121" s="40" t="inlineStr">
        <is>
          <t>Sanidad y población</t>
        </is>
      </c>
      <c r="G121" s="41" t="inlineStr">
        <is>
          <t>Opcional</t>
        </is>
      </c>
      <c r="H121" s="40" t="inlineStr">
        <is>
          <t>Hospital</t>
        </is>
      </c>
      <c r="I121" s="40" t="inlineStr">
        <is>
          <t>Especialización de edificio</t>
        </is>
      </c>
      <c r="J121" s="40" t="inlineStr">
        <is>
          <t>Esp.: todos los militares de esta ciudad aumentan su fuerza de combate en 1.</t>
        </is>
      </c>
      <c r="K121" s="40" t="inlineStr">
        <is>
          <t>Hospital militar II (T115)</t>
        </is>
      </c>
      <c r="L121" s="41">
        <f>IF(C121=1,0,CHOOSE(C121-1,Reglas!$C$6,Reglas!$C$7,Reglas!$C$8,Reglas!$C$9))</f>
        <v/>
      </c>
      <c r="M121" s="41" t="inlineStr">
        <is>
          <t>Tuya</t>
        </is>
      </c>
      <c r="N121" s="41" t="n">
        <v>3</v>
      </c>
      <c r="O121" s="41" t="inlineStr">
        <is>
          <t>Medio</t>
        </is>
      </c>
      <c r="P121" s="40" t="inlineStr">
        <is>
          <t>Convierte la zona en un bastión, sobre todo combinada con terreno y fortificación. Cuidado con el máximo de fuerza.</t>
        </is>
      </c>
      <c r="Q121" s="41" t="n"/>
    </row>
    <row r="122" ht="23.25" customHeight="1" s="27">
      <c r="A122" s="41" t="inlineStr">
        <is>
          <t>T121</t>
        </is>
      </c>
      <c r="B122" s="42" t="inlineStr">
        <is>
          <t>Planificación urbana</t>
        </is>
      </c>
      <c r="C122" s="41" t="n">
        <v>4</v>
      </c>
      <c r="D122" s="41">
        <f>IF(Q122="Sí",0,C122*Reglas!$C$5)</f>
        <v/>
      </c>
      <c r="E122" s="40" t="inlineStr">
        <is>
          <t>Civil</t>
        </is>
      </c>
      <c r="F122" s="40" t="inlineStr">
        <is>
          <t>Sanidad y población</t>
        </is>
      </c>
      <c r="G122" s="41" t="inlineStr">
        <is>
          <t>Opcional</t>
        </is>
      </c>
      <c r="H122" s="40" t="inlineStr">
        <is>
          <t>Población</t>
        </is>
      </c>
      <c r="I122" s="40" t="inlineStr">
        <is>
          <t>Población</t>
        </is>
      </c>
      <c r="J122" s="40" t="inlineStr">
        <is>
          <t>Cada zona tiene +1 espacio de edificio.</t>
        </is>
      </c>
      <c r="K122" s="40" t="inlineStr">
        <is>
          <t>Migraciones guiadas (T116)</t>
        </is>
      </c>
      <c r="L122" s="41">
        <f>IF(C122=1,0,CHOOSE(C122-1,Reglas!$C$6,Reglas!$C$7,Reglas!$C$8,Reglas!$C$9))</f>
        <v/>
      </c>
      <c r="M122" s="41" t="inlineStr">
        <is>
          <t>Mía</t>
        </is>
      </c>
      <c r="N122" s="41" t="n">
        <v>2</v>
      </c>
      <c r="O122" s="41" t="inlineStr">
        <is>
          <t>Alto</t>
        </is>
      </c>
      <c r="P122" s="40" t="inlineStr">
        <is>
          <t>Rompe la regla de 1 espacio por cada 3 de tamaño y facilita mucho la victoria por edificios.</t>
        </is>
      </c>
      <c r="Q122" s="41" t="n"/>
    </row>
    <row r="123" ht="23.25" customHeight="1" s="27">
      <c r="A123" s="41" t="inlineStr">
        <is>
          <t>T122</t>
        </is>
      </c>
      <c r="B123" s="42" t="inlineStr">
        <is>
          <t>Edad de oro</t>
        </is>
      </c>
      <c r="C123" s="41" t="n">
        <v>5</v>
      </c>
      <c r="D123" s="41">
        <f>IF(Q123="Sí",0,C123*Reglas!$C$5)</f>
        <v/>
      </c>
      <c r="E123" s="40" t="inlineStr">
        <is>
          <t>Civil</t>
        </is>
      </c>
      <c r="F123" s="40" t="inlineStr">
        <is>
          <t>Sanidad y población</t>
        </is>
      </c>
      <c r="G123" s="41" t="inlineStr">
        <is>
          <t>Opcional</t>
        </is>
      </c>
      <c r="H123" s="40" t="inlineStr">
        <is>
          <t>Población</t>
        </is>
      </c>
      <c r="I123" s="40" t="inlineStr">
        <is>
          <t>Población</t>
        </is>
      </c>
      <c r="J123" s="40" t="inlineStr">
        <is>
          <t>El crecimiento de población cuesta la mitad (redondeando hacia arriba).</t>
        </is>
      </c>
      <c r="K123" s="40" t="inlineStr">
        <is>
          <t>Planificación urbana (T121); Familias numerosas (T108)</t>
        </is>
      </c>
      <c r="L123" s="41">
        <f>IF(C123=1,0,CHOOSE(C123-1,Reglas!$C$6,Reglas!$C$7,Reglas!$C$8,Reglas!$C$9))</f>
        <v/>
      </c>
      <c r="M123" s="41" t="inlineStr">
        <is>
          <t>Mía</t>
        </is>
      </c>
      <c r="N123" s="41" t="n">
        <v>2</v>
      </c>
      <c r="O123" s="41" t="inlineStr">
        <is>
          <t>Alto</t>
        </is>
      </c>
      <c r="P123" s="40" t="inlineStr">
        <is>
          <t>Combinada con Parteras y Familias numerosas, la victoria por población (75) llega demasiado rápido.</t>
        </is>
      </c>
      <c r="Q123" s="41" t="n"/>
    </row>
    <row r="124" ht="23.25" customHeight="1" s="27">
      <c r="A124" s="38" t="inlineStr">
        <is>
          <t>T123</t>
        </is>
      </c>
      <c r="B124" s="39" t="inlineStr">
        <is>
          <t>Embajadores</t>
        </is>
      </c>
      <c r="C124" s="38" t="n">
        <v>1</v>
      </c>
      <c r="D124" s="38">
        <f>IF(Q124="Sí",0,C124*Reglas!$C$5)</f>
        <v/>
      </c>
      <c r="E124" s="40" t="inlineStr">
        <is>
          <t>Civil</t>
        </is>
      </c>
      <c r="F124" s="40" t="inlineStr">
        <is>
          <t>Diplomacia e imperio</t>
        </is>
      </c>
      <c r="G124" s="38" t="inlineStr">
        <is>
          <t>Vertebral</t>
        </is>
      </c>
      <c r="H124" s="40" t="inlineStr">
        <is>
          <t>Diplomacia</t>
        </is>
      </c>
      <c r="I124" s="40" t="inlineStr">
        <is>
          <t>Información</t>
        </is>
      </c>
      <c r="J124" s="40" t="inlineStr">
        <is>
          <t>Ves lo que piden las tribus que estén a 2 zonas de distancia (en vez de solo las vecinas).</t>
        </is>
      </c>
      <c r="K124" s="40" t="inlineStr">
        <is>
          <t>—</t>
        </is>
      </c>
      <c r="L124" s="41">
        <f>IF(C124=1,0,CHOOSE(C124-1,Reglas!$C$6,Reglas!$C$7,Reglas!$C$8,Reglas!$C$9))</f>
        <v/>
      </c>
      <c r="M124" s="41" t="inlineStr">
        <is>
          <t>Mía</t>
        </is>
      </c>
      <c r="N124" s="41" t="n">
        <v>3</v>
      </c>
      <c r="O124" s="41" t="inlineStr">
        <is>
          <t>Bajo</t>
        </is>
      </c>
      <c r="P124" s="40" t="inlineStr">
        <is>
          <t>Adelanta decisiones de exploración. Barata.</t>
        </is>
      </c>
      <c r="Q124" s="41" t="n"/>
    </row>
    <row r="125" ht="15" customHeight="1" s="27">
      <c r="A125" s="38" t="inlineStr">
        <is>
          <t>T124</t>
        </is>
      </c>
      <c r="B125" s="39" t="inlineStr">
        <is>
          <t>Censo</t>
        </is>
      </c>
      <c r="C125" s="38" t="n">
        <v>1</v>
      </c>
      <c r="D125" s="38">
        <f>IF(Q125="Sí",0,C125*Reglas!$C$5)</f>
        <v/>
      </c>
      <c r="E125" s="40" t="inlineStr">
        <is>
          <t>Civil</t>
        </is>
      </c>
      <c r="F125" s="40" t="inlineStr">
        <is>
          <t>Diplomacia e imperio</t>
        </is>
      </c>
      <c r="G125" s="38" t="inlineStr">
        <is>
          <t>Vertebral</t>
        </is>
      </c>
      <c r="H125" s="40" t="inlineStr">
        <is>
          <t>Imperio</t>
        </is>
      </c>
      <c r="I125" s="40" t="inlineStr">
        <is>
          <t>Información</t>
        </is>
      </c>
      <c r="J125" s="40" t="inlineStr">
        <is>
          <t>Ves la población y los recursos de todos los jugadores.</t>
        </is>
      </c>
      <c r="K125" s="40" t="inlineStr">
        <is>
          <t>—</t>
        </is>
      </c>
      <c r="L125" s="41">
        <f>IF(C125=1,0,CHOOSE(C125-1,Reglas!$C$6,Reglas!$C$7,Reglas!$C$8,Reglas!$C$9))</f>
        <v/>
      </c>
      <c r="M125" s="41" t="inlineStr">
        <is>
          <t>Mía</t>
        </is>
      </c>
      <c r="N125" s="41" t="n">
        <v>3</v>
      </c>
      <c r="O125" s="41" t="inlineStr">
        <is>
          <t>Bajo</t>
        </is>
      </c>
      <c r="P125" s="40" t="inlineStr">
        <is>
          <t>Información útil para saber quién está por ganar. Barata.</t>
        </is>
      </c>
      <c r="Q125" s="41" t="n"/>
    </row>
    <row r="126" ht="15" customHeight="1" s="27">
      <c r="A126" s="38" t="inlineStr">
        <is>
          <t>T125</t>
        </is>
      </c>
      <c r="B126" s="39" t="inlineStr">
        <is>
          <t>Ofrendas</t>
        </is>
      </c>
      <c r="C126" s="38" t="n">
        <v>2</v>
      </c>
      <c r="D126" s="38">
        <f>IF(Q126="Sí",0,C126*Reglas!$C$5)</f>
        <v/>
      </c>
      <c r="E126" s="40" t="inlineStr">
        <is>
          <t>Civil</t>
        </is>
      </c>
      <c r="F126" s="40" t="inlineStr">
        <is>
          <t>Diplomacia e imperio</t>
        </is>
      </c>
      <c r="G126" s="38" t="inlineStr">
        <is>
          <t>Vertebral</t>
        </is>
      </c>
      <c r="H126" s="40" t="inlineStr">
        <is>
          <t>Diplomacia</t>
        </is>
      </c>
      <c r="I126" s="40" t="inlineStr">
        <is>
          <t>Diplomacia</t>
        </is>
      </c>
      <c r="J126" s="40" t="inlineStr">
        <is>
          <t>Anexar una tribu cuesta un 25% menos.</t>
        </is>
      </c>
      <c r="K126" s="40" t="inlineStr">
        <is>
          <t>Embajadores (T123)</t>
        </is>
      </c>
      <c r="L126" s="41">
        <f>IF(C126=1,0,CHOOSE(C126-1,Reglas!$C$6,Reglas!$C$7,Reglas!$C$8,Reglas!$C$9))</f>
        <v/>
      </c>
      <c r="M126" s="41" t="inlineStr">
        <is>
          <t>Mía</t>
        </is>
      </c>
      <c r="N126" s="41" t="n">
        <v>4</v>
      </c>
      <c r="O126" s="41" t="inlineStr">
        <is>
          <t>Bajo</t>
        </is>
      </c>
      <c r="P126" s="40" t="inlineStr">
        <is>
          <t>Hace más atractivo anexar que conquistar.</t>
        </is>
      </c>
      <c r="Q126" s="41" t="n"/>
    </row>
    <row r="127" ht="23.25" customHeight="1" s="27">
      <c r="A127" s="38" t="inlineStr">
        <is>
          <t>T126</t>
        </is>
      </c>
      <c r="B127" s="39" t="inlineStr">
        <is>
          <t>Capital próspera</t>
        </is>
      </c>
      <c r="C127" s="38" t="n">
        <v>2</v>
      </c>
      <c r="D127" s="38">
        <f>IF(Q127="Sí",0,C127*Reglas!$C$5)</f>
        <v/>
      </c>
      <c r="E127" s="40" t="inlineStr">
        <is>
          <t>Civil</t>
        </is>
      </c>
      <c r="F127" s="40" t="inlineStr">
        <is>
          <t>Diplomacia e imperio</t>
        </is>
      </c>
      <c r="G127" s="38" t="inlineStr">
        <is>
          <t>Vertebral</t>
        </is>
      </c>
      <c r="H127" s="40" t="inlineStr">
        <is>
          <t>Imperio</t>
        </is>
      </c>
      <c r="I127" s="40" t="inlineStr">
        <is>
          <t>Imperio</t>
        </is>
      </c>
      <c r="J127" s="40" t="inlineStr">
        <is>
          <t>El bono de capital sube de +4 a +6 de producción, comida, tecnología y oro.</t>
        </is>
      </c>
      <c r="K127" s="40" t="inlineStr">
        <is>
          <t>Censo (T124)</t>
        </is>
      </c>
      <c r="L127" s="41">
        <f>IF(C127=1,0,CHOOSE(C127-1,Reglas!$C$6,Reglas!$C$7,Reglas!$C$8,Reglas!$C$9))</f>
        <v/>
      </c>
      <c r="M127" s="41" t="inlineStr">
        <is>
          <t>Mía</t>
        </is>
      </c>
      <c r="N127" s="41" t="n">
        <v>4</v>
      </c>
      <c r="O127" s="41" t="inlineStr">
        <is>
          <t>Medio</t>
        </is>
      </c>
      <c r="P127" s="40" t="inlineStr">
        <is>
          <t>Fortalece el punto de partida, que además es objetivo de ataque.</t>
        </is>
      </c>
      <c r="Q127" s="41" t="n"/>
    </row>
    <row r="128" ht="15" customHeight="1" s="27">
      <c r="A128" s="38" t="inlineStr">
        <is>
          <t>T127</t>
        </is>
      </c>
      <c r="B128" s="39" t="inlineStr">
        <is>
          <t>Diplomacia tribal</t>
        </is>
      </c>
      <c r="C128" s="38" t="n">
        <v>3</v>
      </c>
      <c r="D128" s="38">
        <f>IF(Q128="Sí",0,C128*Reglas!$C$5)</f>
        <v/>
      </c>
      <c r="E128" s="40" t="inlineStr">
        <is>
          <t>Civil</t>
        </is>
      </c>
      <c r="F128" s="40" t="inlineStr">
        <is>
          <t>Diplomacia e imperio</t>
        </is>
      </c>
      <c r="G128" s="38" t="inlineStr">
        <is>
          <t>Vertebral</t>
        </is>
      </c>
      <c r="H128" s="40" t="inlineStr">
        <is>
          <t>Diplomacia</t>
        </is>
      </c>
      <c r="I128" s="40" t="inlineStr">
        <is>
          <t>Diplomacia</t>
        </is>
      </c>
      <c r="J128" s="40" t="inlineStr">
        <is>
          <t>Pagar el tributo que piden las tribus cuesta un 25% menos.</t>
        </is>
      </c>
      <c r="K128" s="40" t="inlineStr">
        <is>
          <t>Ofrendas (T125)</t>
        </is>
      </c>
      <c r="L128" s="41">
        <f>IF(C128=1,0,CHOOSE(C128-1,Reglas!$C$6,Reglas!$C$7,Reglas!$C$8,Reglas!$C$9))</f>
        <v/>
      </c>
      <c r="M128" s="41" t="inlineStr">
        <is>
          <t>Mía</t>
        </is>
      </c>
      <c r="N128" s="41" t="n">
        <v>3</v>
      </c>
      <c r="O128" s="41" t="inlineStr">
        <is>
          <t>Bajo</t>
        </is>
      </c>
      <c r="P128" s="40" t="inlineStr">
        <is>
          <t>Útil, pero depende de que el sistema de tributos esté implementado (capa 3).</t>
        </is>
      </c>
      <c r="Q128" s="41" t="n"/>
    </row>
    <row r="129" ht="23.25" customHeight="1" s="27">
      <c r="A129" s="38" t="inlineStr">
        <is>
          <t>T128</t>
        </is>
      </c>
      <c r="B129" s="39" t="inlineStr">
        <is>
          <t>Cultura tribal</t>
        </is>
      </c>
      <c r="C129" s="38" t="n">
        <v>4</v>
      </c>
      <c r="D129" s="38">
        <f>IF(Q129="Sí",0,C129*Reglas!$C$5)</f>
        <v/>
      </c>
      <c r="E129" s="40" t="inlineStr">
        <is>
          <t>Civil</t>
        </is>
      </c>
      <c r="F129" s="40" t="inlineStr">
        <is>
          <t>Diplomacia e imperio</t>
        </is>
      </c>
      <c r="G129" s="38" t="inlineStr">
        <is>
          <t>Vertebral</t>
        </is>
      </c>
      <c r="H129" s="40" t="inlineStr">
        <is>
          <t>Diplomacia</t>
        </is>
      </c>
      <c r="I129" s="40" t="inlineStr">
        <is>
          <t>Diplomacia</t>
        </is>
      </c>
      <c r="J129" s="40" t="inlineStr">
        <is>
          <t>Las tribus que anexes producen +1 de su recurso por persona durante 5 rondas.</t>
        </is>
      </c>
      <c r="K129" s="40" t="inlineStr">
        <is>
          <t>Diplomacia tribal (T127)</t>
        </is>
      </c>
      <c r="L129" s="41">
        <f>IF(C129=1,0,CHOOSE(C129-1,Reglas!$C$6,Reglas!$C$7,Reglas!$C$8,Reglas!$C$9))</f>
        <v/>
      </c>
      <c r="M129" s="41" t="inlineStr">
        <is>
          <t>Mía</t>
        </is>
      </c>
      <c r="N129" s="41" t="n">
        <v>3</v>
      </c>
      <c r="O129" s="41" t="inlineStr">
        <is>
          <t>Medio</t>
        </is>
      </c>
      <c r="P129" s="40" t="inlineStr">
        <is>
          <t>Bonus temporal que premia anexar en vez de conquistar.</t>
        </is>
      </c>
      <c r="Q129" s="41" t="n"/>
    </row>
    <row r="130" ht="23.25" customHeight="1" s="27">
      <c r="A130" s="38" t="inlineStr">
        <is>
          <t>T129</t>
        </is>
      </c>
      <c r="B130" s="39" t="inlineStr">
        <is>
          <t>Corte imperial</t>
        </is>
      </c>
      <c r="C130" s="38" t="n">
        <v>5</v>
      </c>
      <c r="D130" s="38">
        <f>IF(Q130="Sí",0,C130*Reglas!$C$5)</f>
        <v/>
      </c>
      <c r="E130" s="40" t="inlineStr">
        <is>
          <t>Civil</t>
        </is>
      </c>
      <c r="F130" s="40" t="inlineStr">
        <is>
          <t>Diplomacia e imperio</t>
        </is>
      </c>
      <c r="G130" s="38" t="inlineStr">
        <is>
          <t>Vertebral</t>
        </is>
      </c>
      <c r="H130" s="40" t="inlineStr">
        <is>
          <t>Imperio</t>
        </is>
      </c>
      <c r="I130" s="40" t="inlineStr">
        <is>
          <t>Imperio</t>
        </is>
      </c>
      <c r="J130" s="40" t="inlineStr">
        <is>
          <t>Desbloquea El Palacio de los Pactos, la maravilla de Diplomacia e imperio (única en la partida): +1 de cada recurso por cada 5 zonas mientras controles su zona. Solo se puede investigar si nadie la ha construido.</t>
        </is>
      </c>
      <c r="K130" s="40" t="inlineStr">
        <is>
          <t>Capital próspera (T126); Cultura tribal (T128)</t>
        </is>
      </c>
      <c r="L130" s="41">
        <f>IF(C130=1,0,CHOOSE(C130-1,Reglas!$C$6,Reglas!$C$7,Reglas!$C$8,Reglas!$C$9))</f>
        <v/>
      </c>
      <c r="M130" s="41" t="inlineStr">
        <is>
          <t>Mía</t>
        </is>
      </c>
      <c r="N130" s="41" t="n">
        <v>3</v>
      </c>
      <c r="O130" s="41" t="inlineStr">
        <is>
          <t>Medio</t>
        </is>
      </c>
      <c r="P130" s="40" t="inlineStr">
        <is>
          <t>Por sí sola no da su efecto: lo da la maravilla. Si otro la termina antes, pierdes la obra y recuperas la mitad de la producción, pero conservas la tecnología (cuenta para la victoria tecnológica).</t>
        </is>
      </c>
      <c r="Q130" s="41" t="n"/>
    </row>
    <row r="131" ht="15" customHeight="1" s="27">
      <c r="A131" s="41" t="inlineStr">
        <is>
          <t>T130</t>
        </is>
      </c>
      <c r="B131" s="42" t="inlineStr">
        <is>
          <t>Aliados de ultratumba</t>
        </is>
      </c>
      <c r="C131" s="41" t="n">
        <v>3</v>
      </c>
      <c r="D131" s="41">
        <f>IF(Q131="Sí",0,C131*Reglas!$C$5)</f>
        <v/>
      </c>
      <c r="E131" s="40" t="inlineStr">
        <is>
          <t>Civil</t>
        </is>
      </c>
      <c r="F131" s="40" t="inlineStr">
        <is>
          <t>Diplomacia e imperio</t>
        </is>
      </c>
      <c r="G131" s="41" t="inlineStr">
        <is>
          <t>Opcional</t>
        </is>
      </c>
      <c r="H131" s="40" t="inlineStr">
        <is>
          <t>Diplomacia</t>
        </is>
      </c>
      <c r="I131" s="40" t="inlineStr">
        <is>
          <t>Diplomacia</t>
        </is>
      </c>
      <c r="J131" s="40" t="inlineStr">
        <is>
          <t>Puedes aliarte con hasta 2 fantasmas a la vez.</t>
        </is>
      </c>
      <c r="K131" s="40" t="inlineStr">
        <is>
          <t>Embajadores (T123)</t>
        </is>
      </c>
      <c r="L131" s="41">
        <f>IF(C131=1,0,CHOOSE(C131-1,Reglas!$C$6,Reglas!$C$7,Reglas!$C$8,Reglas!$C$9))</f>
        <v/>
      </c>
      <c r="M131" s="41" t="inlineStr">
        <is>
          <t>Mía</t>
        </is>
      </c>
      <c r="N131" s="41" t="n">
        <v>3</v>
      </c>
      <c r="O131" s="41" t="inlineStr">
        <is>
          <t>Bajo</t>
        </is>
      </c>
      <c r="P131" s="40" t="inlineStr">
        <is>
          <t>Interesante, pero depende de que haya muchos fantasmas en la partida.</t>
        </is>
      </c>
      <c r="Q131" s="41" t="n"/>
    </row>
    <row r="132" ht="23.25" customHeight="1" s="27">
      <c r="A132" s="41" t="inlineStr">
        <is>
          <t>T131</t>
        </is>
      </c>
      <c r="B132" s="42" t="inlineStr">
        <is>
          <t>Tratados de paz</t>
        </is>
      </c>
      <c r="C132" s="41" t="n">
        <v>3</v>
      </c>
      <c r="D132" s="41">
        <f>IF(Q132="Sí",0,C132*Reglas!$C$5)</f>
        <v/>
      </c>
      <c r="E132" s="40" t="inlineStr">
        <is>
          <t>Civil</t>
        </is>
      </c>
      <c r="F132" s="40" t="inlineStr">
        <is>
          <t>Diplomacia e imperio</t>
        </is>
      </c>
      <c r="G132" s="41" t="inlineStr">
        <is>
          <t>Opcional</t>
        </is>
      </c>
      <c r="H132" s="40" t="inlineStr">
        <is>
          <t>Diplomacia</t>
        </is>
      </c>
      <c r="I132" s="40" t="inlineStr">
        <is>
          <t>Diplomacia</t>
        </is>
      </c>
      <c r="J132" s="40" t="inlineStr">
        <is>
          <t>Si dos jugadores eligen paz en una zona, ninguno puede atacar ahí durante 2 rondas.</t>
        </is>
      </c>
      <c r="K132" s="40" t="inlineStr">
        <is>
          <t>Embajadores (T123)</t>
        </is>
      </c>
      <c r="L132" s="41">
        <f>IF(C132=1,0,CHOOSE(C132-1,Reglas!$C$6,Reglas!$C$7,Reglas!$C$8,Reglas!$C$9))</f>
        <v/>
      </c>
      <c r="M132" s="41" t="inlineStr">
        <is>
          <t>Mía</t>
        </is>
      </c>
      <c r="N132" s="41" t="n">
        <v>3</v>
      </c>
      <c r="O132" s="41" t="inlineStr">
        <is>
          <t>Medio</t>
        </is>
      </c>
      <c r="P132" s="40" t="inlineStr">
        <is>
          <t>Choca un poco con el dilema simultáneo de paz o ataque; evaluar con cuidado.</t>
        </is>
      </c>
      <c r="Q132" s="41" t="n"/>
    </row>
    <row r="133" ht="23.25" customHeight="1" s="27">
      <c r="A133" s="41" t="inlineStr">
        <is>
          <t>T132</t>
        </is>
      </c>
      <c r="B133" s="42" t="inlineStr">
        <is>
          <t>Graneros comunes</t>
        </is>
      </c>
      <c r="C133" s="41" t="n">
        <v>3</v>
      </c>
      <c r="D133" s="41">
        <f>IF(Q133="Sí",0,C133*Reglas!$C$5)</f>
        <v/>
      </c>
      <c r="E133" s="40" t="inlineStr">
        <is>
          <t>Civil</t>
        </is>
      </c>
      <c r="F133" s="40" t="inlineStr">
        <is>
          <t>Diplomacia e imperio</t>
        </is>
      </c>
      <c r="G133" s="41" t="inlineStr">
        <is>
          <t>Opcional</t>
        </is>
      </c>
      <c r="H133" s="40" t="inlineStr">
        <is>
          <t>Imperio</t>
        </is>
      </c>
      <c r="I133" s="40" t="inlineStr">
        <is>
          <t>Imperio</t>
        </is>
      </c>
      <c r="J133" s="40" t="inlineStr">
        <is>
          <t>La comida sobrante de una zona puede enviarse a una zona adyacente propia sin pagar oro.</t>
        </is>
      </c>
      <c r="K133" s="40" t="inlineStr">
        <is>
          <t>Caravanas (T034)</t>
        </is>
      </c>
      <c r="L133" s="41">
        <f>IF(C133=1,0,CHOOSE(C133-1,Reglas!$C$6,Reglas!$C$7,Reglas!$C$8,Reglas!$C$9))</f>
        <v/>
      </c>
      <c r="M133" s="41" t="inlineStr">
        <is>
          <t>Mía</t>
        </is>
      </c>
      <c r="N133" s="41" t="n">
        <v>3</v>
      </c>
      <c r="O133" s="41" t="inlineStr">
        <is>
          <t>Bajo</t>
        </is>
      </c>
      <c r="P133" s="40" t="inlineStr">
        <is>
          <t>Útil para zonas deficitarias; reduce el uso de caminos.</t>
        </is>
      </c>
      <c r="Q133" s="41" t="n"/>
    </row>
    <row r="134" ht="23.25" customHeight="1" s="27">
      <c r="A134" s="41" t="inlineStr">
        <is>
          <t>T133</t>
        </is>
      </c>
      <c r="B134" s="42" t="inlineStr">
        <is>
          <t>Anexión a distancia</t>
        </is>
      </c>
      <c r="C134" s="41" t="n">
        <v>4</v>
      </c>
      <c r="D134" s="41">
        <f>IF(Q134="Sí",0,C134*Reglas!$C$5)</f>
        <v/>
      </c>
      <c r="E134" s="40" t="inlineStr">
        <is>
          <t>Civil</t>
        </is>
      </c>
      <c r="F134" s="40" t="inlineStr">
        <is>
          <t>Diplomacia e imperio</t>
        </is>
      </c>
      <c r="G134" s="41" t="inlineStr">
        <is>
          <t>Opcional</t>
        </is>
      </c>
      <c r="H134" s="40" t="inlineStr">
        <is>
          <t>Diplomacia</t>
        </is>
      </c>
      <c r="I134" s="40" t="inlineStr">
        <is>
          <t>Diplomacia</t>
        </is>
      </c>
      <c r="J134" s="40" t="inlineStr">
        <is>
          <t>Puedes pagar la anexión de una tribu desde zonas a 2 espacios de distancia (no solo fronterizas).</t>
        </is>
      </c>
      <c r="K134" s="40" t="inlineStr">
        <is>
          <t>Ofrendas (T125); Caminos (T074)</t>
        </is>
      </c>
      <c r="L134" s="41">
        <f>IF(C134=1,0,CHOOSE(C134-1,Reglas!$C$6,Reglas!$C$7,Reglas!$C$8,Reglas!$C$9))</f>
        <v/>
      </c>
      <c r="M134" s="41" t="inlineStr">
        <is>
          <t>Mía</t>
        </is>
      </c>
      <c r="N134" s="41" t="n">
        <v>3</v>
      </c>
      <c r="O134" s="41" t="inlineStr">
        <is>
          <t>Medio</t>
        </is>
      </c>
      <c r="P134" s="40" t="inlineStr">
        <is>
          <t>Aumenta el alcance de la expansión pacífica.</t>
        </is>
      </c>
      <c r="Q134" s="41" t="n"/>
    </row>
    <row r="135" ht="23.25" customHeight="1" s="27">
      <c r="A135" s="41" t="inlineStr">
        <is>
          <t>T134</t>
        </is>
      </c>
      <c r="B135" s="42" t="inlineStr">
        <is>
          <t>Maestros de la paz</t>
        </is>
      </c>
      <c r="C135" s="41" t="n">
        <v>5</v>
      </c>
      <c r="D135" s="41">
        <f>IF(Q135="Sí",0,C135*Reglas!$C$5)</f>
        <v/>
      </c>
      <c r="E135" s="40" t="inlineStr">
        <is>
          <t>Civil</t>
        </is>
      </c>
      <c r="F135" s="40" t="inlineStr">
        <is>
          <t>Diplomacia e imperio</t>
        </is>
      </c>
      <c r="G135" s="41" t="inlineStr">
        <is>
          <t>Opcional</t>
        </is>
      </c>
      <c r="H135" s="40" t="inlineStr">
        <is>
          <t>Diplomacia</t>
        </is>
      </c>
      <c r="I135" s="40" t="inlineStr">
        <is>
          <t>Diplomacia</t>
        </is>
      </c>
      <c r="J135" s="40" t="inlineStr">
        <is>
          <t>Por cada zona en paz con otro jugador, ganas +2 de oro por paso (ambos).</t>
        </is>
      </c>
      <c r="K135" s="40" t="inlineStr">
        <is>
          <t>Embajadas comerciales (T045); Tratados de paz (T131)</t>
        </is>
      </c>
      <c r="L135" s="41">
        <f>IF(C135=1,0,CHOOSE(C135-1,Reglas!$C$6,Reglas!$C$7,Reglas!$C$8,Reglas!$C$9))</f>
        <v/>
      </c>
      <c r="M135" s="41" t="inlineStr">
        <is>
          <t>Mía</t>
        </is>
      </c>
      <c r="N135" s="41" t="n">
        <v>3</v>
      </c>
      <c r="O135" s="41" t="inlineStr">
        <is>
          <t>Medio</t>
        </is>
      </c>
      <c r="P135" s="40" t="inlineStr">
        <is>
          <t>Premia la paz; ojo con jugadores que pacten para ganar mientras todos los demás pelean.</t>
        </is>
      </c>
      <c r="Q135" s="41" t="n"/>
    </row>
    <row r="136" ht="15" customHeight="1" s="27">
      <c r="A136" s="38" t="inlineStr">
        <is>
          <t>T135</t>
        </is>
      </c>
      <c r="B136" s="39" t="inlineStr">
        <is>
          <t>Arco</t>
        </is>
      </c>
      <c r="C136" s="38" t="n">
        <v>1</v>
      </c>
      <c r="D136" s="38">
        <f>IF(Q136="Sí",0,C136*Reglas!$C$5)</f>
        <v/>
      </c>
      <c r="E136" s="40" t="inlineStr">
        <is>
          <t>Militar</t>
        </is>
      </c>
      <c r="F136" s="40" t="inlineStr">
        <is>
          <t>Armas y unidades</t>
        </is>
      </c>
      <c r="G136" s="38" t="inlineStr">
        <is>
          <t>Vertebral</t>
        </is>
      </c>
      <c r="H136" s="40" t="inlineStr">
        <is>
          <t>Armas</t>
        </is>
      </c>
      <c r="I136" s="40" t="inlineStr">
        <is>
          <t>Unidad militar</t>
        </is>
      </c>
      <c r="J136" s="40" t="inlineStr">
        <is>
          <t>Permite crear arqueros.</t>
        </is>
      </c>
      <c r="K136" s="40" t="inlineStr">
        <is>
          <t>—</t>
        </is>
      </c>
      <c r="L136" s="41">
        <f>IF(C136=1,0,CHOOSE(C136-1,Reglas!$C$6,Reglas!$C$7,Reglas!$C$8,Reglas!$C$9))</f>
        <v/>
      </c>
      <c r="M136" s="41" t="inlineStr">
        <is>
          <t>Mía</t>
        </is>
      </c>
      <c r="N136" s="41" t="n">
        <v>5</v>
      </c>
      <c r="O136" s="41" t="inlineStr">
        <is>
          <t>Bajo</t>
        </is>
      </c>
      <c r="P136" s="40" t="inlineStr">
        <is>
          <t>Primera especialización militar; da un rol distinto desde el inicio.</t>
        </is>
      </c>
      <c r="Q136" s="41" t="n"/>
    </row>
    <row r="137" ht="15" customHeight="1" s="27">
      <c r="A137" s="38" t="inlineStr">
        <is>
          <t>T136</t>
        </is>
      </c>
      <c r="B137" s="39" t="inlineStr">
        <is>
          <t>Escudos</t>
        </is>
      </c>
      <c r="C137" s="38" t="n">
        <v>2</v>
      </c>
      <c r="D137" s="38">
        <f>IF(Q137="Sí",0,C137*Reglas!$C$5)</f>
        <v/>
      </c>
      <c r="E137" s="40" t="inlineStr">
        <is>
          <t>Militar</t>
        </is>
      </c>
      <c r="F137" s="40" t="inlineStr">
        <is>
          <t>Armas y unidades</t>
        </is>
      </c>
      <c r="G137" s="38" t="inlineStr">
        <is>
          <t>Vertebral</t>
        </is>
      </c>
      <c r="H137" s="40" t="inlineStr">
        <is>
          <t>Armas</t>
        </is>
      </c>
      <c r="I137" s="40" t="inlineStr">
        <is>
          <t>Unidad militar</t>
        </is>
      </c>
      <c r="J137" s="40" t="inlineStr">
        <is>
          <t>Permite crear escuderos.</t>
        </is>
      </c>
      <c r="K137" s="40" t="inlineStr">
        <is>
          <t>Arco (T135)</t>
        </is>
      </c>
      <c r="L137" s="41">
        <f>IF(C137=1,0,CHOOSE(C137-1,Reglas!$C$6,Reglas!$C$7,Reglas!$C$8,Reglas!$C$9))</f>
        <v/>
      </c>
      <c r="M137" s="41" t="inlineStr">
        <is>
          <t>Mía</t>
        </is>
      </c>
      <c r="N137" s="41" t="n">
        <v>4</v>
      </c>
      <c r="O137" s="41" t="inlineStr">
        <is>
          <t>Bajo</t>
        </is>
      </c>
      <c r="P137" s="40" t="inlineStr">
        <is>
          <t>Da un tanque temprano.</t>
        </is>
      </c>
      <c r="Q137" s="41" t="n"/>
    </row>
    <row r="138" ht="15" customHeight="1" s="27">
      <c r="A138" s="38" t="inlineStr">
        <is>
          <t>T137</t>
        </is>
      </c>
      <c r="B138" s="39" t="inlineStr">
        <is>
          <t>Doma de caballos</t>
        </is>
      </c>
      <c r="C138" s="38" t="n">
        <v>3</v>
      </c>
      <c r="D138" s="38">
        <f>IF(Q138="Sí",0,C138*Reglas!$C$5)</f>
        <v/>
      </c>
      <c r="E138" s="40" t="inlineStr">
        <is>
          <t>Militar</t>
        </is>
      </c>
      <c r="F138" s="40" t="inlineStr">
        <is>
          <t>Armas y unidades</t>
        </is>
      </c>
      <c r="G138" s="38" t="inlineStr">
        <is>
          <t>Vertebral</t>
        </is>
      </c>
      <c r="H138" s="40" t="inlineStr">
        <is>
          <t>Armas</t>
        </is>
      </c>
      <c r="I138" s="40" t="inlineStr">
        <is>
          <t>Unidad militar</t>
        </is>
      </c>
      <c r="J138" s="40" t="inlineStr">
        <is>
          <t>Permite crear caballeros.</t>
        </is>
      </c>
      <c r="K138" s="40" t="inlineStr">
        <is>
          <t>Escudos (T136)</t>
        </is>
      </c>
      <c r="L138" s="41">
        <f>IF(C138=1,0,CHOOSE(C138-1,Reglas!$C$6,Reglas!$C$7,Reglas!$C$8,Reglas!$C$9))</f>
        <v/>
      </c>
      <c r="M138" s="41" t="inlineStr">
        <is>
          <t>Mía</t>
        </is>
      </c>
      <c r="N138" s="41" t="n">
        <v>4</v>
      </c>
      <c r="O138" s="41" t="inlineStr">
        <is>
          <t>Bajo</t>
        </is>
      </c>
      <c r="P138" s="40" t="inlineStr">
        <is>
          <t>La conexión con las Praderas le da sentido.</t>
        </is>
      </c>
      <c r="Q138" s="41" t="n"/>
    </row>
    <row r="139" ht="23.25" customHeight="1" s="27">
      <c r="A139" s="38" t="inlineStr">
        <is>
          <t>T138</t>
        </is>
      </c>
      <c r="B139" s="39" t="inlineStr">
        <is>
          <t>Forja de hachas</t>
        </is>
      </c>
      <c r="C139" s="38" t="n">
        <v>3</v>
      </c>
      <c r="D139" s="38">
        <f>IF(Q139="Sí",0,C139*Reglas!$C$5)</f>
        <v/>
      </c>
      <c r="E139" s="40" t="inlineStr">
        <is>
          <t>Militar</t>
        </is>
      </c>
      <c r="F139" s="40" t="inlineStr">
        <is>
          <t>Armas y unidades</t>
        </is>
      </c>
      <c r="G139" s="38" t="inlineStr">
        <is>
          <t>Vertebral</t>
        </is>
      </c>
      <c r="H139" s="40" t="inlineStr">
        <is>
          <t>Armas</t>
        </is>
      </c>
      <c r="I139" s="40" t="inlineStr">
        <is>
          <t>Unidad militar</t>
        </is>
      </c>
      <c r="J139" s="40" t="inlineStr">
        <is>
          <t>Permite crear berserkers.</t>
        </is>
      </c>
      <c r="K139" s="40" t="inlineStr">
        <is>
          <t>Escudos (T136)</t>
        </is>
      </c>
      <c r="L139" s="41">
        <f>IF(C139=1,0,CHOOSE(C139-1,Reglas!$C$6,Reglas!$C$7,Reglas!$C$8,Reglas!$C$9))</f>
        <v/>
      </c>
      <c r="M139" s="41" t="inlineStr">
        <is>
          <t>Mía</t>
        </is>
      </c>
      <c r="N139" s="41" t="n">
        <v>4</v>
      </c>
      <c r="O139" s="41" t="inlineStr">
        <is>
          <t>Bajo</t>
        </is>
      </c>
      <c r="P139" s="40" t="inlineStr">
        <is>
          <t>El berserker es la unidad más fuerte; que llegue en nivel 3 (con herrería) es temprano, pero su lentitud lo compensa. Vigilar.</t>
        </is>
      </c>
      <c r="Q139" s="41" t="n"/>
    </row>
    <row r="140" ht="23.25" customHeight="1" s="27">
      <c r="A140" s="38" t="inlineStr">
        <is>
          <t>T139</t>
        </is>
      </c>
      <c r="B140" s="39" t="inlineStr">
        <is>
          <t>Carga de caballería</t>
        </is>
      </c>
      <c r="C140" s="38" t="n">
        <v>4</v>
      </c>
      <c r="D140" s="38">
        <f>IF(Q140="Sí",0,C140*Reglas!$C$5)</f>
        <v/>
      </c>
      <c r="E140" s="40" t="inlineStr">
        <is>
          <t>Militar</t>
        </is>
      </c>
      <c r="F140" s="40" t="inlineStr">
        <is>
          <t>Armas y unidades</t>
        </is>
      </c>
      <c r="G140" s="38" t="inlineStr">
        <is>
          <t>Vertebral</t>
        </is>
      </c>
      <c r="H140" s="40" t="inlineStr">
        <is>
          <t>Caballería</t>
        </is>
      </c>
      <c r="I140" s="40" t="inlineStr">
        <is>
          <t>Combate</t>
        </is>
      </c>
      <c r="J140" s="40" t="inlineStr">
        <is>
          <t>Los caballeros atacantes tienen +1 de ataque en la primera ronda de combate.</t>
        </is>
      </c>
      <c r="K140" s="40" t="inlineStr">
        <is>
          <t>Doma de caballos (T137)</t>
        </is>
      </c>
      <c r="L140" s="41">
        <f>IF(C140=1,0,CHOOSE(C140-1,Reglas!$C$6,Reglas!$C$7,Reglas!$C$8,Reglas!$C$9))</f>
        <v/>
      </c>
      <c r="M140" s="41" t="inlineStr">
        <is>
          <t>Mía</t>
        </is>
      </c>
      <c r="N140" s="41" t="n">
        <v>4</v>
      </c>
      <c r="O140" s="41" t="inlineStr">
        <is>
          <t>Medio</t>
        </is>
      </c>
      <c r="P140" s="40" t="inlineStr">
        <is>
          <t>Da un sabor claro de ataque rápido.</t>
        </is>
      </c>
      <c r="Q140" s="41" t="n"/>
    </row>
    <row r="141" ht="15" customHeight="1" s="27">
      <c r="A141" s="38" t="inlineStr">
        <is>
          <t>T140</t>
        </is>
      </c>
      <c r="B141" s="39" t="inlineStr">
        <is>
          <t>Furia</t>
        </is>
      </c>
      <c r="C141" s="38" t="n">
        <v>4</v>
      </c>
      <c r="D141" s="38">
        <f>IF(Q141="Sí",0,C141*Reglas!$C$5)</f>
        <v/>
      </c>
      <c r="E141" s="40" t="inlineStr">
        <is>
          <t>Militar</t>
        </is>
      </c>
      <c r="F141" s="40" t="inlineStr">
        <is>
          <t>Armas y unidades</t>
        </is>
      </c>
      <c r="G141" s="38" t="inlineStr">
        <is>
          <t>Vertebral</t>
        </is>
      </c>
      <c r="H141" s="40" t="inlineStr">
        <is>
          <t>Berserkers</t>
        </is>
      </c>
      <c r="I141" s="40" t="inlineStr">
        <is>
          <t>Combate</t>
        </is>
      </c>
      <c r="J141" s="40" t="inlineStr">
        <is>
          <t>Los berserkers atacantes tienen +1 de fuerza.</t>
        </is>
      </c>
      <c r="K141" s="40" t="inlineStr">
        <is>
          <t>Forja de hachas (T138)</t>
        </is>
      </c>
      <c r="L141" s="41">
        <f>IF(C141=1,0,CHOOSE(C141-1,Reglas!$C$6,Reglas!$C$7,Reglas!$C$8,Reglas!$C$9))</f>
        <v/>
      </c>
      <c r="M141" s="41" t="inlineStr">
        <is>
          <t>Mía</t>
        </is>
      </c>
      <c r="N141" s="41" t="n">
        <v>3</v>
      </c>
      <c r="O141" s="41" t="inlineStr">
        <is>
          <t>Medio</t>
        </is>
      </c>
      <c r="P141" s="40" t="inlineStr">
        <is>
          <t>Los hace aún más peligrosos al atacar.</t>
        </is>
      </c>
      <c r="Q141" s="41" t="n"/>
    </row>
    <row r="142" ht="15" customHeight="1" s="27">
      <c r="A142" s="38" t="inlineStr">
        <is>
          <t>T141</t>
        </is>
      </c>
      <c r="B142" s="39" t="inlineStr">
        <is>
          <t>Arsenal</t>
        </is>
      </c>
      <c r="C142" s="38" t="n">
        <v>5</v>
      </c>
      <c r="D142" s="38">
        <f>IF(Q142="Sí",0,C142*Reglas!$C$5)</f>
        <v/>
      </c>
      <c r="E142" s="40" t="inlineStr">
        <is>
          <t>Militar</t>
        </is>
      </c>
      <c r="F142" s="40" t="inlineStr">
        <is>
          <t>Armas y unidades</t>
        </is>
      </c>
      <c r="G142" s="38" t="inlineStr">
        <is>
          <t>Vertebral</t>
        </is>
      </c>
      <c r="H142" s="40" t="inlineStr">
        <is>
          <t>Armas</t>
        </is>
      </c>
      <c r="I142" s="40" t="inlineStr">
        <is>
          <t>Unidad militar</t>
        </is>
      </c>
      <c r="J142" s="40" t="inlineStr">
        <is>
          <t>Desbloquea La Sala de los Mil Filos, la maravilla de Armas y unidades (única en la partida): las armas cuestan la mitad de producción mientras controles su zona. Solo se puede investigar si nadie la ha construido.</t>
        </is>
      </c>
      <c r="K142" s="40" t="inlineStr">
        <is>
          <t>Carga de caballería (T139); Furia (T140)</t>
        </is>
      </c>
      <c r="L142" s="41">
        <f>IF(C142=1,0,CHOOSE(C142-1,Reglas!$C$6,Reglas!$C$7,Reglas!$C$8,Reglas!$C$9))</f>
        <v/>
      </c>
      <c r="M142" s="41" t="inlineStr">
        <is>
          <t>Mía</t>
        </is>
      </c>
      <c r="N142" s="41" t="n">
        <v>3</v>
      </c>
      <c r="O142" s="41" t="inlineStr">
        <is>
          <t>Bajo</t>
        </is>
      </c>
      <c r="P142" s="40" t="inlineStr">
        <is>
          <t>Por sí sola no da su efecto: lo da la maravilla. Si otro la termina antes, pierdes la obra y recuperas la mitad de la producción, pero conservas la tecnología (cuenta para la victoria tecnológica).</t>
        </is>
      </c>
      <c r="Q142" s="41" t="n"/>
    </row>
    <row r="143" ht="15" customHeight="1" s="27">
      <c r="A143" s="41" t="inlineStr">
        <is>
          <t>T142</t>
        </is>
      </c>
      <c r="B143" s="42" t="inlineStr">
        <is>
          <t>Arco compuesto</t>
        </is>
      </c>
      <c r="C143" s="41" t="n">
        <v>3</v>
      </c>
      <c r="D143" s="41">
        <f>IF(Q143="Sí",0,C143*Reglas!$C$5)</f>
        <v/>
      </c>
      <c r="E143" s="40" t="inlineStr">
        <is>
          <t>Militar</t>
        </is>
      </c>
      <c r="F143" s="40" t="inlineStr">
        <is>
          <t>Armas y unidades</t>
        </is>
      </c>
      <c r="G143" s="41" t="inlineStr">
        <is>
          <t>Opcional</t>
        </is>
      </c>
      <c r="H143" s="40" t="inlineStr">
        <is>
          <t>Arqueros</t>
        </is>
      </c>
      <c r="I143" s="40" t="inlineStr">
        <is>
          <t>Combate</t>
        </is>
      </c>
      <c r="J143" s="40" t="inlineStr">
        <is>
          <t>Los arqueros tienen +1 de fuerza.</t>
        </is>
      </c>
      <c r="K143" s="40" t="inlineStr">
        <is>
          <t>Arco (T135)</t>
        </is>
      </c>
      <c r="L143" s="41">
        <f>IF(C143=1,0,CHOOSE(C143-1,Reglas!$C$6,Reglas!$C$7,Reglas!$C$8,Reglas!$C$9))</f>
        <v/>
      </c>
      <c r="M143" s="41" t="inlineStr">
        <is>
          <t>Mía</t>
        </is>
      </c>
      <c r="N143" s="41" t="n">
        <v>4</v>
      </c>
      <c r="O143" s="41" t="inlineStr">
        <is>
          <t>Medio</t>
        </is>
      </c>
      <c r="P143" s="40" t="inlineStr">
        <is>
          <t>Hace que los arqueros mantengan su rol de daño a distancia.</t>
        </is>
      </c>
      <c r="Q143" s="41" t="n"/>
    </row>
    <row r="144" ht="15" customHeight="1" s="27">
      <c r="A144" s="41" t="inlineStr">
        <is>
          <t>T143</t>
        </is>
      </c>
      <c r="B144" s="42" t="inlineStr">
        <is>
          <t>Escudos reforzados</t>
        </is>
      </c>
      <c r="C144" s="41" t="n">
        <v>3</v>
      </c>
      <c r="D144" s="41">
        <f>IF(Q144="Sí",0,C144*Reglas!$C$5)</f>
        <v/>
      </c>
      <c r="E144" s="40" t="inlineStr">
        <is>
          <t>Militar</t>
        </is>
      </c>
      <c r="F144" s="40" t="inlineStr">
        <is>
          <t>Armas y unidades</t>
        </is>
      </c>
      <c r="G144" s="41" t="inlineStr">
        <is>
          <t>Opcional</t>
        </is>
      </c>
      <c r="H144" s="40" t="inlineStr">
        <is>
          <t>Escuderos</t>
        </is>
      </c>
      <c r="I144" s="40" t="inlineStr">
        <is>
          <t>Combate</t>
        </is>
      </c>
      <c r="J144" s="40" t="inlineStr">
        <is>
          <t>Los escuderos tienen +1 de defensa (de 2 a 3).</t>
        </is>
      </c>
      <c r="K144" s="40" t="inlineStr">
        <is>
          <t>Escudos (T136)</t>
        </is>
      </c>
      <c r="L144" s="41">
        <f>IF(C144=1,0,CHOOSE(C144-1,Reglas!$C$6,Reglas!$C$7,Reglas!$C$8,Reglas!$C$9))</f>
        <v/>
      </c>
      <c r="M144" s="41" t="inlineStr">
        <is>
          <t>Mía</t>
        </is>
      </c>
      <c r="N144" s="41" t="n">
        <v>4</v>
      </c>
      <c r="O144" s="41" t="inlineStr">
        <is>
          <t>Medio</t>
        </is>
      </c>
      <c r="P144" s="40" t="inlineStr">
        <is>
          <t>Cumple el rol de tanque; cuidado con Fortificación.</t>
        </is>
      </c>
      <c r="Q144" s="41" t="n"/>
    </row>
    <row r="145" ht="15" customHeight="1" s="27">
      <c r="A145" s="41" t="inlineStr">
        <is>
          <t>T144</t>
        </is>
      </c>
      <c r="B145" s="42" t="inlineStr">
        <is>
          <t>Armaduras ligeras</t>
        </is>
      </c>
      <c r="C145" s="41" t="n">
        <v>3</v>
      </c>
      <c r="D145" s="41">
        <f>IF(Q145="Sí",0,C145*Reglas!$C$5)</f>
        <v/>
      </c>
      <c r="E145" s="40" t="inlineStr">
        <is>
          <t>Militar</t>
        </is>
      </c>
      <c r="F145" s="40" t="inlineStr">
        <is>
          <t>Armas y unidades</t>
        </is>
      </c>
      <c r="G145" s="41" t="inlineStr">
        <is>
          <t>Opcional</t>
        </is>
      </c>
      <c r="H145" s="40" t="inlineStr">
        <is>
          <t>Entrenamiento</t>
        </is>
      </c>
      <c r="I145" s="40" t="inlineStr">
        <is>
          <t>Combate</t>
        </is>
      </c>
      <c r="J145" s="40" t="inlineStr">
        <is>
          <t>Todos los militares, excepto los escuderos, tienen +1 de defensa.</t>
        </is>
      </c>
      <c r="K145" s="40" t="inlineStr">
        <is>
          <t>Taller de herrería (T025); Cuarteles (T158)</t>
        </is>
      </c>
      <c r="L145" s="41">
        <f>IF(C145=1,0,CHOOSE(C145-1,Reglas!$C$6,Reglas!$C$7,Reglas!$C$8,Reglas!$C$9))</f>
        <v/>
      </c>
      <c r="M145" s="41" t="inlineStr">
        <is>
          <t>Mía</t>
        </is>
      </c>
      <c r="N145" s="41" t="n">
        <v>3</v>
      </c>
      <c r="O145" s="41" t="inlineStr">
        <is>
          <t>Medio</t>
        </is>
      </c>
      <c r="P145" s="40" t="inlineStr">
        <is>
          <t>Aumenta la vida efectiva de todo el ejército; revisar con el simulador.</t>
        </is>
      </c>
      <c r="Q145" s="41" t="n"/>
    </row>
    <row r="146" ht="23.25" customHeight="1" s="27">
      <c r="A146" s="41" t="inlineStr">
        <is>
          <t>T145</t>
        </is>
      </c>
      <c r="B146" s="42" t="inlineStr">
        <is>
          <t>Ingeniería de asedio</t>
        </is>
      </c>
      <c r="C146" s="41" t="n">
        <v>3</v>
      </c>
      <c r="D146" s="41">
        <f>IF(Q146="Sí",0,C146*Reglas!$C$5)</f>
        <v/>
      </c>
      <c r="E146" s="40" t="inlineStr">
        <is>
          <t>Militar</t>
        </is>
      </c>
      <c r="F146" s="40" t="inlineStr">
        <is>
          <t>Armas y unidades</t>
        </is>
      </c>
      <c r="G146" s="41" t="inlineStr">
        <is>
          <t>Opcional</t>
        </is>
      </c>
      <c r="H146" s="40" t="inlineStr">
        <is>
          <t>Máquinas de asedio</t>
        </is>
      </c>
      <c r="I146" s="40" t="inlineStr">
        <is>
          <t>Unidad militar</t>
        </is>
      </c>
      <c r="J146" s="40" t="inlineStr">
        <is>
          <t>Permite crear arietes de nivel 1 (anulan 1 de defensa de la Fortificación). Se construyen en el Cuartel con producción.</t>
        </is>
      </c>
      <c r="K146" s="40" t="inlineStr">
        <is>
          <t>Escudos (T136)</t>
        </is>
      </c>
      <c r="L146" s="41">
        <f>IF(C146=1,0,CHOOSE(C146-1,Reglas!$C$6,Reglas!$C$7,Reglas!$C$8,Reglas!$C$9))</f>
        <v/>
      </c>
      <c r="M146" s="41" t="inlineStr">
        <is>
          <t>Mía</t>
        </is>
      </c>
      <c r="N146" s="41" t="n">
        <v>4</v>
      </c>
      <c r="O146" s="41" t="inlineStr">
        <is>
          <t>Medio</t>
        </is>
      </c>
      <c r="P146" s="40" t="inlineStr">
        <is>
          <t>Responde a tu idea de máquinas que anulan la defensa extra de las fortificaciones. Es el contrapeso natural de Fortificación III.</t>
        </is>
      </c>
      <c r="Q146" s="41" t="n"/>
    </row>
    <row r="147" ht="23.25" customHeight="1" s="27">
      <c r="A147" s="41" t="inlineStr">
        <is>
          <t>T146</t>
        </is>
      </c>
      <c r="B147" s="42" t="inlineStr">
        <is>
          <t>Lanzapiedras</t>
        </is>
      </c>
      <c r="C147" s="41" t="n">
        <v>3</v>
      </c>
      <c r="D147" s="41">
        <f>IF(Q147="Sí",0,C147*Reglas!$C$5)</f>
        <v/>
      </c>
      <c r="E147" s="40" t="inlineStr">
        <is>
          <t>Militar</t>
        </is>
      </c>
      <c r="F147" s="40" t="inlineStr">
        <is>
          <t>Armas y unidades</t>
        </is>
      </c>
      <c r="G147" s="41" t="inlineStr">
        <is>
          <t>Opcional</t>
        </is>
      </c>
      <c r="H147" s="40" t="inlineStr">
        <is>
          <t>Máquinas de asedio</t>
        </is>
      </c>
      <c r="I147" s="40" t="inlineStr">
        <is>
          <t>Unidad militar</t>
        </is>
      </c>
      <c r="J147" s="40" t="inlineStr">
        <is>
          <t>Permite crear lanzapiedras de nivel 1 (1 de daño por unidad del grupo objetivo). Se construyen en el Cuartel con producción.</t>
        </is>
      </c>
      <c r="K147" s="40" t="inlineStr">
        <is>
          <t>Arco (T135)</t>
        </is>
      </c>
      <c r="L147" s="41">
        <f>IF(C147=1,0,CHOOSE(C147-1,Reglas!$C$6,Reglas!$C$7,Reglas!$C$8,Reglas!$C$9))</f>
        <v/>
      </c>
      <c r="M147" s="41" t="inlineStr">
        <is>
          <t>Mía</t>
        </is>
      </c>
      <c r="N147" s="41" t="n">
        <v>4</v>
      </c>
      <c r="O147" s="41" t="inlineStr">
        <is>
          <t>Alto</t>
        </is>
      </c>
      <c r="P147" s="40" t="inlineStr">
        <is>
          <t>Daño de área desde el nivel 3. Muy fuerte contra grupos grandes y contra civiles; probar en la simulación.</t>
        </is>
      </c>
      <c r="Q147" s="41" t="n"/>
    </row>
    <row r="148" ht="23.25" customHeight="1" s="27">
      <c r="A148" s="41" t="inlineStr">
        <is>
          <t>T147</t>
        </is>
      </c>
      <c r="B148" s="42" t="inlineStr">
        <is>
          <t>Flechas de fuego</t>
        </is>
      </c>
      <c r="C148" s="41" t="n">
        <v>4</v>
      </c>
      <c r="D148" s="41">
        <f>IF(Q148="Sí",0,C148*Reglas!$C$5)</f>
        <v/>
      </c>
      <c r="E148" s="40" t="inlineStr">
        <is>
          <t>Militar</t>
        </is>
      </c>
      <c r="F148" s="40" t="inlineStr">
        <is>
          <t>Armas y unidades</t>
        </is>
      </c>
      <c r="G148" s="41" t="inlineStr">
        <is>
          <t>Opcional</t>
        </is>
      </c>
      <c r="H148" s="40" t="inlineStr">
        <is>
          <t>Arqueros</t>
        </is>
      </c>
      <c r="I148" s="40" t="inlineStr">
        <is>
          <t>Combate</t>
        </is>
      </c>
      <c r="J148" s="40" t="inlineStr">
        <is>
          <t>Los arqueros reducen en 1 la defensa de sus objetivos.</t>
        </is>
      </c>
      <c r="K148" s="40" t="inlineStr">
        <is>
          <t>Arco compuesto (T142)</t>
        </is>
      </c>
      <c r="L148" s="41">
        <f>IF(C148=1,0,CHOOSE(C148-1,Reglas!$C$6,Reglas!$C$7,Reglas!$C$8,Reglas!$C$9))</f>
        <v/>
      </c>
      <c r="M148" s="41" t="inlineStr">
        <is>
          <t>Mía</t>
        </is>
      </c>
      <c r="N148" s="41" t="n">
        <v>3</v>
      </c>
      <c r="O148" s="41" t="inlineStr">
        <is>
          <t>Medio</t>
        </is>
      </c>
      <c r="P148" s="40" t="inlineStr">
        <is>
          <t>Buen contra escuderos y fortificaciones; puede dar demasiado poder a los arqueros.</t>
        </is>
      </c>
      <c r="Q148" s="41" t="n"/>
    </row>
    <row r="149" ht="15" customHeight="1" s="27">
      <c r="A149" s="41" t="inlineStr">
        <is>
          <t>T148</t>
        </is>
      </c>
      <c r="B149" s="42" t="inlineStr">
        <is>
          <t>Caballería pesada</t>
        </is>
      </c>
      <c r="C149" s="41" t="n">
        <v>4</v>
      </c>
      <c r="D149" s="41">
        <f>IF(Q149="Sí",0,C149*Reglas!$C$5)</f>
        <v/>
      </c>
      <c r="E149" s="40" t="inlineStr">
        <is>
          <t>Militar</t>
        </is>
      </c>
      <c r="F149" s="40" t="inlineStr">
        <is>
          <t>Armas y unidades</t>
        </is>
      </c>
      <c r="G149" s="41" t="inlineStr">
        <is>
          <t>Opcional</t>
        </is>
      </c>
      <c r="H149" s="40" t="inlineStr">
        <is>
          <t>Caballería</t>
        </is>
      </c>
      <c r="I149" s="40" t="inlineStr">
        <is>
          <t>Combate</t>
        </is>
      </c>
      <c r="J149" s="40" t="inlineStr">
        <is>
          <t>Los caballeros tienen +1 de vida.</t>
        </is>
      </c>
      <c r="K149" s="40" t="inlineStr">
        <is>
          <t>Doma de caballos (T137)</t>
        </is>
      </c>
      <c r="L149" s="41">
        <f>IF(C149=1,0,CHOOSE(C149-1,Reglas!$C$6,Reglas!$C$7,Reglas!$C$8,Reglas!$C$9))</f>
        <v/>
      </c>
      <c r="M149" s="41" t="inlineStr">
        <is>
          <t>Mía</t>
        </is>
      </c>
      <c r="N149" s="41" t="n">
        <v>3</v>
      </c>
      <c r="O149" s="41" t="inlineStr">
        <is>
          <t>Medio</t>
        </is>
      </c>
      <c r="P149" s="40" t="inlineStr">
        <is>
          <t>Los vuelve duraderos; vigilar con los terrenos.</t>
        </is>
      </c>
      <c r="Q149" s="41" t="n"/>
    </row>
    <row r="150" ht="15" customHeight="1" s="27">
      <c r="A150" s="41" t="inlineStr">
        <is>
          <t>T149</t>
        </is>
      </c>
      <c r="B150" s="42" t="inlineStr">
        <is>
          <t>Falange</t>
        </is>
      </c>
      <c r="C150" s="41" t="n">
        <v>4</v>
      </c>
      <c r="D150" s="41">
        <f>IF(Q150="Sí",0,C150*Reglas!$C$5)</f>
        <v/>
      </c>
      <c r="E150" s="40" t="inlineStr">
        <is>
          <t>Militar</t>
        </is>
      </c>
      <c r="F150" s="40" t="inlineStr">
        <is>
          <t>Armas y unidades</t>
        </is>
      </c>
      <c r="G150" s="41" t="inlineStr">
        <is>
          <t>Opcional</t>
        </is>
      </c>
      <c r="H150" s="40" t="inlineStr">
        <is>
          <t>Escuderos</t>
        </is>
      </c>
      <c r="I150" s="40" t="inlineStr">
        <is>
          <t>Combate</t>
        </is>
      </c>
      <c r="J150" s="40" t="inlineStr">
        <is>
          <t>Los escuderos actúan con iniciativa 5 (en vez de 8).</t>
        </is>
      </c>
      <c r="K150" s="40" t="inlineStr">
        <is>
          <t>Escudos reforzados (T143)</t>
        </is>
      </c>
      <c r="L150" s="41">
        <f>IF(C150=1,0,CHOOSE(C150-1,Reglas!$C$6,Reglas!$C$7,Reglas!$C$8,Reglas!$C$9))</f>
        <v/>
      </c>
      <c r="M150" s="41" t="inlineStr">
        <is>
          <t>Mía</t>
        </is>
      </c>
      <c r="N150" s="41" t="n">
        <v>3</v>
      </c>
      <c r="O150" s="41" t="inlineStr">
        <is>
          <t>Bajo</t>
        </is>
      </c>
      <c r="P150" s="40" t="inlineStr">
        <is>
          <t>Cambia el momento en que reciben y reparten daño.</t>
        </is>
      </c>
      <c r="Q150" s="41" t="n"/>
    </row>
    <row r="151" ht="15" customHeight="1" s="27">
      <c r="A151" s="41" t="inlineStr">
        <is>
          <t>T150</t>
        </is>
      </c>
      <c r="B151" s="42" t="inlineStr">
        <is>
          <t>Arietes reforzados</t>
        </is>
      </c>
      <c r="C151" s="41" t="n">
        <v>4</v>
      </c>
      <c r="D151" s="41">
        <f>IF(Q151="Sí",0,C151*Reglas!$C$5)</f>
        <v/>
      </c>
      <c r="E151" s="40" t="inlineStr">
        <is>
          <t>Militar</t>
        </is>
      </c>
      <c r="F151" s="40" t="inlineStr">
        <is>
          <t>Armas y unidades</t>
        </is>
      </c>
      <c r="G151" s="41" t="inlineStr">
        <is>
          <t>Opcional</t>
        </is>
      </c>
      <c r="H151" s="40" t="inlineStr">
        <is>
          <t>Máquinas de asedio</t>
        </is>
      </c>
      <c r="I151" s="40" t="inlineStr">
        <is>
          <t>Unidad militar</t>
        </is>
      </c>
      <c r="J151" s="40" t="inlineStr">
        <is>
          <t>Los arietes pasan a nivel 2: anulan 2 de defensa de la Fortificación.</t>
        </is>
      </c>
      <c r="K151" s="40" t="inlineStr">
        <is>
          <t>Ingeniería de asedio (T145)</t>
        </is>
      </c>
      <c r="L151" s="41">
        <f>IF(C151=1,0,CHOOSE(C151-1,Reglas!$C$6,Reglas!$C$7,Reglas!$C$8,Reglas!$C$9))</f>
        <v/>
      </c>
      <c r="M151" s="41" t="inlineStr">
        <is>
          <t>Mía</t>
        </is>
      </c>
      <c r="N151" s="41" t="n">
        <v>3</v>
      </c>
      <c r="O151" s="41" t="inlineStr">
        <is>
          <t>Medio</t>
        </is>
      </c>
      <c r="P151" s="40" t="inlineStr">
        <is>
          <t>Sigue la línea de los niveles de Fortificación (+1, +2, +3).</t>
        </is>
      </c>
      <c r="Q151" s="41" t="n"/>
    </row>
    <row r="152" ht="15" customHeight="1" s="27">
      <c r="A152" s="41" t="inlineStr">
        <is>
          <t>T151</t>
        </is>
      </c>
      <c r="B152" s="42" t="inlineStr">
        <is>
          <t>Contrapesos</t>
        </is>
      </c>
      <c r="C152" s="41" t="n">
        <v>4</v>
      </c>
      <c r="D152" s="41">
        <f>IF(Q152="Sí",0,C152*Reglas!$C$5)</f>
        <v/>
      </c>
      <c r="E152" s="40" t="inlineStr">
        <is>
          <t>Militar</t>
        </is>
      </c>
      <c r="F152" s="40" t="inlineStr">
        <is>
          <t>Armas y unidades</t>
        </is>
      </c>
      <c r="G152" s="41" t="inlineStr">
        <is>
          <t>Opcional</t>
        </is>
      </c>
      <c r="H152" s="40" t="inlineStr">
        <is>
          <t>Máquinas de asedio</t>
        </is>
      </c>
      <c r="I152" s="40" t="inlineStr">
        <is>
          <t>Unidad militar</t>
        </is>
      </c>
      <c r="J152" s="40" t="inlineStr">
        <is>
          <t>Los lanzapiedras pasan a nivel 2: +1 de fuerza (3 dados).</t>
        </is>
      </c>
      <c r="K152" s="40" t="inlineStr">
        <is>
          <t>Lanzapiedras (T146)</t>
        </is>
      </c>
      <c r="L152" s="41">
        <f>IF(C152=1,0,CHOOSE(C152-1,Reglas!$C$6,Reglas!$C$7,Reglas!$C$8,Reglas!$C$9))</f>
        <v/>
      </c>
      <c r="M152" s="41" t="inlineStr">
        <is>
          <t>Mía</t>
        </is>
      </c>
      <c r="N152" s="41" t="n">
        <v>3</v>
      </c>
      <c r="O152" s="41" t="inlineStr">
        <is>
          <t>Alto</t>
        </is>
      </c>
      <c r="P152" s="40" t="inlineStr">
        <is>
          <t>Sube el daño de área; vigilar con grupos de civiles.</t>
        </is>
      </c>
      <c r="Q152" s="41" t="n"/>
    </row>
    <row r="153" ht="15" customHeight="1" s="27">
      <c r="A153" s="41" t="inlineStr">
        <is>
          <t>T152</t>
        </is>
      </c>
      <c r="B153" s="42" t="inlineStr">
        <is>
          <t>Lluvia de flechas</t>
        </is>
      </c>
      <c r="C153" s="41" t="n">
        <v>5</v>
      </c>
      <c r="D153" s="41">
        <f>IF(Q153="Sí",0,C153*Reglas!$C$5)</f>
        <v/>
      </c>
      <c r="E153" s="40" t="inlineStr">
        <is>
          <t>Militar</t>
        </is>
      </c>
      <c r="F153" s="40" t="inlineStr">
        <is>
          <t>Armas y unidades</t>
        </is>
      </c>
      <c r="G153" s="41" t="inlineStr">
        <is>
          <t>Opcional</t>
        </is>
      </c>
      <c r="H153" s="40" t="inlineStr">
        <is>
          <t>Arqueros</t>
        </is>
      </c>
      <c r="I153" s="40" t="inlineStr">
        <is>
          <t>Combate</t>
        </is>
      </c>
      <c r="J153" s="40" t="inlineStr">
        <is>
          <t>Los arqueros actúan con iniciativa 0.</t>
        </is>
      </c>
      <c r="K153" s="40" t="inlineStr">
        <is>
          <t>Flechas de fuego (T147)</t>
        </is>
      </c>
      <c r="L153" s="41">
        <f>IF(C153=1,0,CHOOSE(C153-1,Reglas!$C$6,Reglas!$C$7,Reglas!$C$8,Reglas!$C$9))</f>
        <v/>
      </c>
      <c r="M153" s="41" t="inlineStr">
        <is>
          <t>Mía</t>
        </is>
      </c>
      <c r="N153" s="41" t="n">
        <v>3</v>
      </c>
      <c r="O153" s="41" t="inlineStr">
        <is>
          <t>Medio</t>
        </is>
      </c>
      <c r="P153" s="40" t="inlineStr">
        <is>
          <t>Se pone antes que los caballeros con terreno; la combinación puede ser fuerte.</t>
        </is>
      </c>
      <c r="Q153" s="41" t="n"/>
    </row>
    <row r="154" ht="23.25" customHeight="1" s="27">
      <c r="A154" s="41" t="inlineStr">
        <is>
          <t>T153</t>
        </is>
      </c>
      <c r="B154" s="42" t="inlineStr">
        <is>
          <t>Jinetes veloces</t>
        </is>
      </c>
      <c r="C154" s="41" t="n">
        <v>5</v>
      </c>
      <c r="D154" s="41">
        <f>IF(Q154="Sí",0,C154*Reglas!$C$5)</f>
        <v/>
      </c>
      <c r="E154" s="40" t="inlineStr">
        <is>
          <t>Militar</t>
        </is>
      </c>
      <c r="F154" s="40" t="inlineStr">
        <is>
          <t>Armas y unidades</t>
        </is>
      </c>
      <c r="G154" s="41" t="inlineStr">
        <is>
          <t>Opcional</t>
        </is>
      </c>
      <c r="H154" s="40" t="inlineStr">
        <is>
          <t>Caballería</t>
        </is>
      </c>
      <c r="I154" s="40" t="inlineStr">
        <is>
          <t>Movimiento</t>
        </is>
      </c>
      <c r="J154" s="40" t="inlineStr">
        <is>
          <t>Los caballeros pueden moverse 1 zona extra sin pagar oro adicional.</t>
        </is>
      </c>
      <c r="K154" s="40" t="inlineStr">
        <is>
          <t>Caballería pesada (T148); Camino militar II (T089)</t>
        </is>
      </c>
      <c r="L154" s="41">
        <f>IF(C154=1,0,CHOOSE(C154-1,Reglas!$C$6,Reglas!$C$7,Reglas!$C$8,Reglas!$C$9))</f>
        <v/>
      </c>
      <c r="M154" s="41" t="inlineStr">
        <is>
          <t>Mía</t>
        </is>
      </c>
      <c r="N154" s="41" t="n">
        <v>3</v>
      </c>
      <c r="O154" s="41" t="inlineStr">
        <is>
          <t>Medio</t>
        </is>
      </c>
      <c r="P154" s="40" t="inlineStr">
        <is>
          <t>Fuerte en mapas grandes.</t>
        </is>
      </c>
      <c r="Q154" s="41" t="n"/>
    </row>
    <row r="155" ht="15" customHeight="1" s="27">
      <c r="A155" s="41" t="inlineStr">
        <is>
          <t>T154</t>
        </is>
      </c>
      <c r="B155" s="42" t="inlineStr">
        <is>
          <t>Tortuga</t>
        </is>
      </c>
      <c r="C155" s="41" t="n">
        <v>5</v>
      </c>
      <c r="D155" s="41">
        <f>IF(Q155="Sí",0,C155*Reglas!$C$5)</f>
        <v/>
      </c>
      <c r="E155" s="40" t="inlineStr">
        <is>
          <t>Militar</t>
        </is>
      </c>
      <c r="F155" s="40" t="inlineStr">
        <is>
          <t>Armas y unidades</t>
        </is>
      </c>
      <c r="G155" s="41" t="inlineStr">
        <is>
          <t>Opcional</t>
        </is>
      </c>
      <c r="H155" s="40" t="inlineStr">
        <is>
          <t>Escuderos</t>
        </is>
      </c>
      <c r="I155" s="40" t="inlineStr">
        <is>
          <t>Combate</t>
        </is>
      </c>
      <c r="J155" s="40" t="inlineStr">
        <is>
          <t>Los escuderos defensores tienen +2 de defensa.</t>
        </is>
      </c>
      <c r="K155" s="40" t="inlineStr">
        <is>
          <t>Falange (T149)</t>
        </is>
      </c>
      <c r="L155" s="41">
        <f>IF(C155=1,0,CHOOSE(C155-1,Reglas!$C$6,Reglas!$C$7,Reglas!$C$8,Reglas!$C$9))</f>
        <v/>
      </c>
      <c r="M155" s="41" t="inlineStr">
        <is>
          <t>Mía</t>
        </is>
      </c>
      <c r="N155" s="41" t="n">
        <v>2</v>
      </c>
      <c r="O155" s="41" t="inlineStr">
        <is>
          <t>Alto</t>
        </is>
      </c>
      <c r="P155" s="40" t="inlineStr">
        <is>
          <t>Con Fortificación III pueden volverse casi imposibles de matar.</t>
        </is>
      </c>
      <c r="Q155" s="41" t="n"/>
    </row>
    <row r="156" ht="15" customHeight="1" s="27">
      <c r="A156" s="41" t="inlineStr">
        <is>
          <t>T155</t>
        </is>
      </c>
      <c r="B156" s="42" t="inlineStr">
        <is>
          <t>Frenesí</t>
        </is>
      </c>
      <c r="C156" s="41" t="n">
        <v>5</v>
      </c>
      <c r="D156" s="41">
        <f>IF(Q156="Sí",0,C156*Reglas!$C$5)</f>
        <v/>
      </c>
      <c r="E156" s="40" t="inlineStr">
        <is>
          <t>Militar</t>
        </is>
      </c>
      <c r="F156" s="40" t="inlineStr">
        <is>
          <t>Armas y unidades</t>
        </is>
      </c>
      <c r="G156" s="41" t="inlineStr">
        <is>
          <t>Opcional</t>
        </is>
      </c>
      <c r="H156" s="40" t="inlineStr">
        <is>
          <t>Berserkers</t>
        </is>
      </c>
      <c r="I156" s="40" t="inlineStr">
        <is>
          <t>Combate</t>
        </is>
      </c>
      <c r="J156" s="40" t="inlineStr">
        <is>
          <t>Los berserkers actúan con iniciativa 4 (en vez de 6).</t>
        </is>
      </c>
      <c r="K156" s="40" t="inlineStr">
        <is>
          <t>Furia (T140)</t>
        </is>
      </c>
      <c r="L156" s="41">
        <f>IF(C156=1,0,CHOOSE(C156-1,Reglas!$C$6,Reglas!$C$7,Reglas!$C$8,Reglas!$C$9))</f>
        <v/>
      </c>
      <c r="M156" s="41" t="inlineStr">
        <is>
          <t>Mía</t>
        </is>
      </c>
      <c r="N156" s="41" t="n">
        <v>3</v>
      </c>
      <c r="O156" s="41" t="inlineStr">
        <is>
          <t>Medio</t>
        </is>
      </c>
      <c r="P156" s="40" t="inlineStr">
        <is>
          <t>Los vuelve más rápidos; vigilar el balance con arqueros.</t>
        </is>
      </c>
      <c r="Q156" s="41" t="n"/>
    </row>
    <row r="157" ht="15" customHeight="1" s="27">
      <c r="A157" s="41" t="inlineStr">
        <is>
          <t>T156</t>
        </is>
      </c>
      <c r="B157" s="42" t="inlineStr">
        <is>
          <t>Gran ariete</t>
        </is>
      </c>
      <c r="C157" s="41" t="n">
        <v>5</v>
      </c>
      <c r="D157" s="41">
        <f>IF(Q157="Sí",0,C157*Reglas!$C$5)</f>
        <v/>
      </c>
      <c r="E157" s="40" t="inlineStr">
        <is>
          <t>Militar</t>
        </is>
      </c>
      <c r="F157" s="40" t="inlineStr">
        <is>
          <t>Armas y unidades</t>
        </is>
      </c>
      <c r="G157" s="41" t="inlineStr">
        <is>
          <t>Opcional</t>
        </is>
      </c>
      <c r="H157" s="40" t="inlineStr">
        <is>
          <t>Máquinas de asedio</t>
        </is>
      </c>
      <c r="I157" s="40" t="inlineStr">
        <is>
          <t>Unidad militar</t>
        </is>
      </c>
      <c r="J157" s="40" t="inlineStr">
        <is>
          <t>Los arietes pasan a nivel 3: anulan 3 de defensa de la Fortificación.</t>
        </is>
      </c>
      <c r="K157" s="40" t="inlineStr">
        <is>
          <t>Arietes reforzados (T150)</t>
        </is>
      </c>
      <c r="L157" s="41">
        <f>IF(C157=1,0,CHOOSE(C157-1,Reglas!$C$6,Reglas!$C$7,Reglas!$C$8,Reglas!$C$9))</f>
        <v/>
      </c>
      <c r="M157" s="41" t="inlineStr">
        <is>
          <t>Mía</t>
        </is>
      </c>
      <c r="N157" s="41" t="n">
        <v>3</v>
      </c>
      <c r="O157" s="41" t="inlineStr">
        <is>
          <t>Alto</t>
        </is>
      </c>
      <c r="P157" s="40" t="inlineStr">
        <is>
          <t>Casi anula una Fortificación III. Deja a la Ciudadela (+4) como único contrapeso.</t>
        </is>
      </c>
      <c r="Q157" s="41" t="n"/>
    </row>
    <row r="158" ht="23.25" customHeight="1" s="27">
      <c r="A158" s="41" t="inlineStr">
        <is>
          <t>T157</t>
        </is>
      </c>
      <c r="B158" s="42" t="inlineStr">
        <is>
          <t>Trabucos</t>
        </is>
      </c>
      <c r="C158" s="41" t="n">
        <v>5</v>
      </c>
      <c r="D158" s="41">
        <f>IF(Q158="Sí",0,C158*Reglas!$C$5)</f>
        <v/>
      </c>
      <c r="E158" s="40" t="inlineStr">
        <is>
          <t>Militar</t>
        </is>
      </c>
      <c r="F158" s="40" t="inlineStr">
        <is>
          <t>Armas y unidades</t>
        </is>
      </c>
      <c r="G158" s="41" t="inlineStr">
        <is>
          <t>Opcional</t>
        </is>
      </c>
      <c r="H158" s="40" t="inlineStr">
        <is>
          <t>Máquinas de asedio</t>
        </is>
      </c>
      <c r="I158" s="40" t="inlineStr">
        <is>
          <t>Unidad militar</t>
        </is>
      </c>
      <c r="J158" s="40" t="inlineStr">
        <is>
          <t>Los lanzapiedras pasan a nivel 3: +1 de ataque (2 de daño por unidad).</t>
        </is>
      </c>
      <c r="K158" s="40" t="inlineStr">
        <is>
          <t>Contrapesos (T151)</t>
        </is>
      </c>
      <c r="L158" s="41">
        <f>IF(C158=1,0,CHOOSE(C158-1,Reglas!$C$6,Reglas!$C$7,Reglas!$C$8,Reglas!$C$9))</f>
        <v/>
      </c>
      <c r="M158" s="41" t="inlineStr">
        <is>
          <t>Mía</t>
        </is>
      </c>
      <c r="N158" s="41" t="n">
        <v>3</v>
      </c>
      <c r="O158" s="41" t="inlineStr">
        <is>
          <t>Alto</t>
        </is>
      </c>
      <c r="P158" s="40" t="inlineStr">
        <is>
          <t>El daño de área llega a su máximo; es el elemento de mayor riesgo del combate.</t>
        </is>
      </c>
      <c r="Q158" s="41" t="n"/>
    </row>
    <row r="159" ht="34.5" customHeight="1" s="27">
      <c r="A159" s="38" t="inlineStr">
        <is>
          <t>T158</t>
        </is>
      </c>
      <c r="B159" s="39" t="inlineStr">
        <is>
          <t>Cuarteles</t>
        </is>
      </c>
      <c r="C159" s="38" t="n">
        <v>1</v>
      </c>
      <c r="D159" s="38">
        <f>IF(Q159="Sí",0,C159*Reglas!$C$5)</f>
        <v/>
      </c>
      <c r="E159" s="40" t="inlineStr">
        <is>
          <t>Militar</t>
        </is>
      </c>
      <c r="F159" s="40" t="inlineStr">
        <is>
          <t>Cuartel y entrenamiento</t>
        </is>
      </c>
      <c r="G159" s="38" t="inlineStr">
        <is>
          <t>Vertebral</t>
        </is>
      </c>
      <c r="H159" s="40" t="inlineStr">
        <is>
          <t>Cuartel</t>
        </is>
      </c>
      <c r="I159" s="40" t="inlineStr">
        <is>
          <t>Desbloqueo de edificio</t>
        </is>
      </c>
      <c r="J159" s="40" t="inlineStr">
        <is>
          <t>Permite construir el Cuartel: los militares que trabajan ahí no consumen comida y, al movilizarse, pueden moverse una zona extra en un turno (el movimiento sigue costando oro).</t>
        </is>
      </c>
      <c r="K159" s="40" t="inlineStr">
        <is>
          <t>—</t>
        </is>
      </c>
      <c r="L159" s="41">
        <f>IF(C159=1,0,CHOOSE(C159-1,Reglas!$C$6,Reglas!$C$7,Reglas!$C$8,Reglas!$C$9))</f>
        <v/>
      </c>
      <c r="M159" s="41" t="inlineStr">
        <is>
          <t>Tuya</t>
        </is>
      </c>
      <c r="N159" s="41" t="n">
        <v>5</v>
      </c>
      <c r="O159" s="41" t="inlineStr">
        <is>
          <t>Bajo</t>
        </is>
      </c>
      <c r="P159" s="40" t="inlineStr">
        <is>
          <t>El motor de cualquier plan militar. Su ventaja económica es clara y el movimiento extra da ritmo.</t>
        </is>
      </c>
      <c r="Q159" s="41" t="inlineStr">
        <is>
          <t>Sí</t>
        </is>
      </c>
    </row>
    <row r="160" ht="23.25" customHeight="1" s="27">
      <c r="A160" s="38" t="inlineStr">
        <is>
          <t>T159</t>
        </is>
      </c>
      <c r="B160" s="39" t="inlineStr">
        <is>
          <t>Marcha forzada</t>
        </is>
      </c>
      <c r="C160" s="38" t="n">
        <v>2</v>
      </c>
      <c r="D160" s="38">
        <f>IF(Q160="Sí",0,C160*Reglas!$C$5)</f>
        <v/>
      </c>
      <c r="E160" s="40" t="inlineStr">
        <is>
          <t>Militar</t>
        </is>
      </c>
      <c r="F160" s="40" t="inlineStr">
        <is>
          <t>Cuartel y entrenamiento</t>
        </is>
      </c>
      <c r="G160" s="38" t="inlineStr">
        <is>
          <t>Vertebral</t>
        </is>
      </c>
      <c r="H160" s="40" t="inlineStr">
        <is>
          <t>Cuartel</t>
        </is>
      </c>
      <c r="I160" s="40" t="inlineStr">
        <is>
          <t>Mejora de edificio</t>
        </is>
      </c>
      <c r="J160" s="40" t="inlineStr">
        <is>
          <t>El Cuartel permite moverse 2 zonas extra en un turno (en vez de 1).</t>
        </is>
      </c>
      <c r="K160" s="40" t="inlineStr">
        <is>
          <t>Cuarteles (T158)</t>
        </is>
      </c>
      <c r="L160" s="41">
        <f>IF(C160=1,0,CHOOSE(C160-1,Reglas!$C$6,Reglas!$C$7,Reglas!$C$8,Reglas!$C$9))</f>
        <v/>
      </c>
      <c r="M160" s="41" t="inlineStr">
        <is>
          <t>Mía</t>
        </is>
      </c>
      <c r="N160" s="41" t="n">
        <v>3</v>
      </c>
      <c r="O160" s="41" t="inlineStr">
        <is>
          <t>Medio</t>
        </is>
      </c>
      <c r="P160" s="40" t="inlineStr">
        <is>
          <t>En mapas con capitales a 3-7 pasos acelera mucho las guerras. Cada zona extra sigue costando oro.</t>
        </is>
      </c>
      <c r="Q160" s="41" t="n"/>
    </row>
    <row r="161" ht="23.25" customHeight="1" s="27">
      <c r="A161" s="38" t="inlineStr">
        <is>
          <t>T160</t>
        </is>
      </c>
      <c r="B161" s="39" t="inlineStr">
        <is>
          <t>Entrenamiento continuo</t>
        </is>
      </c>
      <c r="C161" s="38" t="n">
        <v>2</v>
      </c>
      <c r="D161" s="38">
        <f>IF(Q161="Sí",0,C161*Reglas!$C$5)</f>
        <v/>
      </c>
      <c r="E161" s="40" t="inlineStr">
        <is>
          <t>Militar</t>
        </is>
      </c>
      <c r="F161" s="40" t="inlineStr">
        <is>
          <t>Cuartel y entrenamiento</t>
        </is>
      </c>
      <c r="G161" s="38" t="inlineStr">
        <is>
          <t>Vertebral</t>
        </is>
      </c>
      <c r="H161" s="40" t="inlineStr">
        <is>
          <t>Entrenamiento</t>
        </is>
      </c>
      <c r="I161" s="40" t="inlineStr">
        <is>
          <t>Combate</t>
        </is>
      </c>
      <c r="J161" s="40" t="inlineStr">
        <is>
          <t>Los militares ganan +2 de fuerza por ronda (en vez de +1) hasta el máximo.</t>
        </is>
      </c>
      <c r="K161" s="40" t="inlineStr">
        <is>
          <t>Cuarteles (T158)</t>
        </is>
      </c>
      <c r="L161" s="41">
        <f>IF(C161=1,0,CHOOSE(C161-1,Reglas!$C$6,Reglas!$C$7,Reglas!$C$8,Reglas!$C$9))</f>
        <v/>
      </c>
      <c r="M161" s="41" t="inlineStr">
        <is>
          <t>Mía</t>
        </is>
      </c>
      <c r="N161" s="41" t="n">
        <v>4</v>
      </c>
      <c r="O161" s="41" t="inlineStr">
        <is>
          <t>Bajo</t>
        </is>
      </c>
      <c r="P161" s="40" t="inlineStr">
        <is>
          <t>Premia mantener un ejército en pie.</t>
        </is>
      </c>
      <c r="Q161" s="41" t="n"/>
    </row>
    <row r="162" ht="23.25" customHeight="1" s="27">
      <c r="A162" s="38" t="inlineStr">
        <is>
          <t>T161</t>
        </is>
      </c>
      <c r="B162" s="39" t="inlineStr">
        <is>
          <t>Campo de entrenamiento</t>
        </is>
      </c>
      <c r="C162" s="38" t="n">
        <v>3</v>
      </c>
      <c r="D162" s="38">
        <f>IF(Q162="Sí",0,C162*Reglas!$C$5)</f>
        <v/>
      </c>
      <c r="E162" s="40" t="inlineStr">
        <is>
          <t>Militar</t>
        </is>
      </c>
      <c r="F162" s="40" t="inlineStr">
        <is>
          <t>Cuartel y entrenamiento</t>
        </is>
      </c>
      <c r="G162" s="38" t="inlineStr">
        <is>
          <t>Vertebral</t>
        </is>
      </c>
      <c r="H162" s="40" t="inlineStr">
        <is>
          <t>Cuartel</t>
        </is>
      </c>
      <c r="I162" s="40" t="inlineStr">
        <is>
          <t>Especialización de edificio</t>
        </is>
      </c>
      <c r="J162" s="40" t="inlineStr">
        <is>
          <t>Esp.: los militares entrenados aquí empiezan con +1 de fuerza (hasta el máximo).</t>
        </is>
      </c>
      <c r="K162" s="40" t="inlineStr">
        <is>
          <t>Entrenamiento continuo (T160)</t>
        </is>
      </c>
      <c r="L162" s="41">
        <f>IF(C162=1,0,CHOOSE(C162-1,Reglas!$C$6,Reglas!$C$7,Reglas!$C$8,Reglas!$C$9))</f>
        <v/>
      </c>
      <c r="M162" s="41" t="inlineStr">
        <is>
          <t>Mía</t>
        </is>
      </c>
      <c r="N162" s="41" t="n">
        <v>4</v>
      </c>
      <c r="O162" s="41" t="inlineStr">
        <is>
          <t>Medio</t>
        </is>
      </c>
      <c r="P162" s="40" t="inlineStr">
        <is>
          <t>Da una ventaja real a quien invierte en un cuartel central.</t>
        </is>
      </c>
      <c r="Q162" s="41" t="n"/>
    </row>
    <row r="163" ht="23.25" customHeight="1" s="27">
      <c r="A163" s="38" t="inlineStr">
        <is>
          <t>T162</t>
        </is>
      </c>
      <c r="B163" s="39" t="inlineStr">
        <is>
          <t>Guardia de élite</t>
        </is>
      </c>
      <c r="C163" s="38" t="n">
        <v>4</v>
      </c>
      <c r="D163" s="38">
        <f>IF(Q163="Sí",0,C163*Reglas!$C$5)</f>
        <v/>
      </c>
      <c r="E163" s="40" t="inlineStr">
        <is>
          <t>Militar</t>
        </is>
      </c>
      <c r="F163" s="40" t="inlineStr">
        <is>
          <t>Cuartel y entrenamiento</t>
        </is>
      </c>
      <c r="G163" s="38" t="inlineStr">
        <is>
          <t>Vertebral</t>
        </is>
      </c>
      <c r="H163" s="40" t="inlineStr">
        <is>
          <t>Cuartel</t>
        </is>
      </c>
      <c r="I163" s="40" t="inlineStr">
        <is>
          <t>Especialización de edificio</t>
        </is>
      </c>
      <c r="J163" s="40" t="inlineStr">
        <is>
          <t>Esp.: los militares que trabajan en este Cuartel tienen +1 de defensa.</t>
        </is>
      </c>
      <c r="K163" s="40" t="inlineStr">
        <is>
          <t>Campo de entrenamiento (T161)</t>
        </is>
      </c>
      <c r="L163" s="41">
        <f>IF(C163=1,0,CHOOSE(C163-1,Reglas!$C$6,Reglas!$C$7,Reglas!$C$8,Reglas!$C$9))</f>
        <v/>
      </c>
      <c r="M163" s="41" t="inlineStr">
        <is>
          <t>Mía</t>
        </is>
      </c>
      <c r="N163" s="41" t="n">
        <v>3</v>
      </c>
      <c r="O163" s="41" t="inlineStr">
        <is>
          <t>Medio</t>
        </is>
      </c>
      <c r="P163" s="40" t="inlineStr">
        <is>
          <t>Convierte a los trabajadores del cuartel en una guarnición fuerte en el lugar donde están.</t>
        </is>
      </c>
      <c r="Q163" s="41" t="n"/>
    </row>
    <row r="164" ht="15" customHeight="1" s="27">
      <c r="A164" s="38" t="inlineStr">
        <is>
          <t>T163</t>
        </is>
      </c>
      <c r="B164" s="39" t="inlineStr">
        <is>
          <t>Veteranos</t>
        </is>
      </c>
      <c r="C164" s="38" t="n">
        <v>5</v>
      </c>
      <c r="D164" s="38">
        <f>IF(Q164="Sí",0,C164*Reglas!$C$5)</f>
        <v/>
      </c>
      <c r="E164" s="40" t="inlineStr">
        <is>
          <t>Militar</t>
        </is>
      </c>
      <c r="F164" s="40" t="inlineStr">
        <is>
          <t>Cuartel y entrenamiento</t>
        </is>
      </c>
      <c r="G164" s="38" t="inlineStr">
        <is>
          <t>Vertebral</t>
        </is>
      </c>
      <c r="H164" s="40" t="inlineStr">
        <is>
          <t>Entrenamiento</t>
        </is>
      </c>
      <c r="I164" s="40" t="inlineStr">
        <is>
          <t>Combate</t>
        </is>
      </c>
      <c r="J164" s="40" t="inlineStr">
        <is>
          <t>Desbloquea El Patio de Armas, la maravilla de Cuartel y entrenamiento (única en la partida): la fuerza máxima de las tropas sube de 4 a 5 mientras controles su zona. Solo se puede investigar si nadie la ha construido.</t>
        </is>
      </c>
      <c r="K164" s="40" t="inlineStr">
        <is>
          <t>Guardia de élite (T162)</t>
        </is>
      </c>
      <c r="L164" s="41">
        <f>IF(C164=1,0,CHOOSE(C164-1,Reglas!$C$6,Reglas!$C$7,Reglas!$C$8,Reglas!$C$9))</f>
        <v/>
      </c>
      <c r="M164" s="41" t="inlineStr">
        <is>
          <t>Mía</t>
        </is>
      </c>
      <c r="N164" s="41" t="n">
        <v>3</v>
      </c>
      <c r="O164" s="41" t="inlineStr">
        <is>
          <t>Medio</t>
        </is>
      </c>
      <c r="P164" s="40" t="inlineStr">
        <is>
          <t>Por sí sola no da su efecto: lo da la maravilla. Si otro la termina antes, pierdes la obra y recuperas la mitad de la producción, pero conservas la tecnología (cuenta para la victoria tecnológica).</t>
        </is>
      </c>
      <c r="Q164" s="41" t="n"/>
    </row>
    <row r="165" ht="23.25" customHeight="1" s="27">
      <c r="A165" s="41" t="inlineStr">
        <is>
          <t>T164</t>
        </is>
      </c>
      <c r="B165" s="42" t="inlineStr">
        <is>
          <t>Cuartel de instrucción</t>
        </is>
      </c>
      <c r="C165" s="41" t="n">
        <v>2</v>
      </c>
      <c r="D165" s="41">
        <f>IF(Q165="Sí",0,C165*Reglas!$C$5)</f>
        <v/>
      </c>
      <c r="E165" s="40" t="inlineStr">
        <is>
          <t>Militar</t>
        </is>
      </c>
      <c r="F165" s="40" t="inlineStr">
        <is>
          <t>Cuartel y entrenamiento</t>
        </is>
      </c>
      <c r="G165" s="41" t="inlineStr">
        <is>
          <t>Opcional</t>
        </is>
      </c>
      <c r="H165" s="40" t="inlineStr">
        <is>
          <t>Cuartel</t>
        </is>
      </c>
      <c r="I165" s="40" t="inlineStr">
        <is>
          <t>Especialización de edificio</t>
        </is>
      </c>
      <c r="J165" s="40" t="inlineStr">
        <is>
          <t>Esp.: convertir un civil en soldado en este Cuartel cuesta 1 de producción menos.</t>
        </is>
      </c>
      <c r="K165" s="40" t="inlineStr">
        <is>
          <t>Cuarteles (T158)</t>
        </is>
      </c>
      <c r="L165" s="41">
        <f>IF(C165=1,0,CHOOSE(C165-1,Reglas!$C$6,Reglas!$C$7,Reglas!$C$8,Reglas!$C$9))</f>
        <v/>
      </c>
      <c r="M165" s="41" t="inlineStr">
        <is>
          <t>Mía</t>
        </is>
      </c>
      <c r="N165" s="41" t="n">
        <v>3</v>
      </c>
      <c r="O165" s="41" t="inlineStr">
        <is>
          <t>Bajo</t>
        </is>
      </c>
      <c r="P165" s="40" t="inlineStr">
        <is>
          <t>Ahorro modesto (de 2 a 1 de producción), pero útil para reclutar masivamente.</t>
        </is>
      </c>
      <c r="Q165" s="41" t="n"/>
    </row>
    <row r="166" ht="15" customHeight="1" s="27">
      <c r="A166" s="41" t="inlineStr">
        <is>
          <t>T165</t>
        </is>
      </c>
      <c r="B166" s="42" t="inlineStr">
        <is>
          <t>Lanceros</t>
        </is>
      </c>
      <c r="C166" s="41" t="n">
        <v>2</v>
      </c>
      <c r="D166" s="41">
        <f>IF(Q166="Sí",0,C166*Reglas!$C$5)</f>
        <v/>
      </c>
      <c r="E166" s="40" t="inlineStr">
        <is>
          <t>Militar</t>
        </is>
      </c>
      <c r="F166" s="40" t="inlineStr">
        <is>
          <t>Cuartel y entrenamiento</t>
        </is>
      </c>
      <c r="G166" s="41" t="inlineStr">
        <is>
          <t>Opcional</t>
        </is>
      </c>
      <c r="H166" s="40" t="inlineStr">
        <is>
          <t>Entrenamiento</t>
        </is>
      </c>
      <c r="I166" s="40" t="inlineStr">
        <is>
          <t>Combate</t>
        </is>
      </c>
      <c r="J166" s="40" t="inlineStr">
        <is>
          <t>Los soldados básicos tienen +1 de ataque cuando defienden.</t>
        </is>
      </c>
      <c r="K166" s="40" t="inlineStr">
        <is>
          <t>Cuarteles (T158)</t>
        </is>
      </c>
      <c r="L166" s="41">
        <f>IF(C166=1,0,CHOOSE(C166-1,Reglas!$C$6,Reglas!$C$7,Reglas!$C$8,Reglas!$C$9))</f>
        <v/>
      </c>
      <c r="M166" s="41" t="inlineStr">
        <is>
          <t>Mía</t>
        </is>
      </c>
      <c r="N166" s="41" t="n">
        <v>3</v>
      </c>
      <c r="O166" s="41" t="inlineStr">
        <is>
          <t>Bajo</t>
        </is>
      </c>
      <c r="P166" s="40" t="inlineStr">
        <is>
          <t>Da un rol propio al soldado básico.</t>
        </is>
      </c>
      <c r="Q166" s="41" t="n"/>
    </row>
    <row r="167" ht="15" customHeight="1" s="27">
      <c r="A167" s="41" t="inlineStr">
        <is>
          <t>T166</t>
        </is>
      </c>
      <c r="B167" s="42" t="inlineStr">
        <is>
          <t>Mercenarios</t>
        </is>
      </c>
      <c r="C167" s="41" t="n">
        <v>2</v>
      </c>
      <c r="D167" s="41">
        <f>IF(Q167="Sí",0,C167*Reglas!$C$5)</f>
        <v/>
      </c>
      <c r="E167" s="40" t="inlineStr">
        <is>
          <t>Militar</t>
        </is>
      </c>
      <c r="F167" s="40" t="inlineStr">
        <is>
          <t>Cuartel y entrenamiento</t>
        </is>
      </c>
      <c r="G167" s="41" t="inlineStr">
        <is>
          <t>Opcional</t>
        </is>
      </c>
      <c r="H167" s="40" t="inlineStr">
        <is>
          <t>Entrenamiento</t>
        </is>
      </c>
      <c r="I167" s="40" t="inlineStr">
        <is>
          <t>Combate</t>
        </is>
      </c>
      <c r="J167" s="40" t="inlineStr">
        <is>
          <t>Puedes convertir 4 de oro en 1 soldado básico (sin Cuartel).</t>
        </is>
      </c>
      <c r="K167" s="40" t="inlineStr">
        <is>
          <t>Moneda (T032); Cuarteles (T158)</t>
        </is>
      </c>
      <c r="L167" s="41">
        <f>IF(C167=1,0,CHOOSE(C167-1,Reglas!$C$6,Reglas!$C$7,Reglas!$C$8,Reglas!$C$9))</f>
        <v/>
      </c>
      <c r="M167" s="41" t="inlineStr">
        <is>
          <t>Mía</t>
        </is>
      </c>
      <c r="N167" s="41" t="n">
        <v>3</v>
      </c>
      <c r="O167" s="41" t="inlineStr">
        <is>
          <t>Alto</t>
        </is>
      </c>
      <c r="P167" s="40" t="inlineStr">
        <is>
          <t>Convierte oro en ejército; puede romper la economía si el oro abunda.</t>
        </is>
      </c>
      <c r="Q167" s="41" t="n"/>
    </row>
    <row r="168" ht="15" customHeight="1" s="27">
      <c r="A168" s="41" t="inlineStr">
        <is>
          <t>T167</t>
        </is>
      </c>
      <c r="B168" s="42" t="inlineStr">
        <is>
          <t>Estandarte</t>
        </is>
      </c>
      <c r="C168" s="41" t="n">
        <v>3</v>
      </c>
      <c r="D168" s="41">
        <f>IF(Q168="Sí",0,C168*Reglas!$C$5)</f>
        <v/>
      </c>
      <c r="E168" s="40" t="inlineStr">
        <is>
          <t>Militar</t>
        </is>
      </c>
      <c r="F168" s="40" t="inlineStr">
        <is>
          <t>Cuartel y entrenamiento</t>
        </is>
      </c>
      <c r="G168" s="41" t="inlineStr">
        <is>
          <t>Opcional</t>
        </is>
      </c>
      <c r="H168" s="40" t="inlineStr">
        <is>
          <t>Entrenamiento</t>
        </is>
      </c>
      <c r="I168" s="40" t="inlineStr">
        <is>
          <t>Combate</t>
        </is>
      </c>
      <c r="J168" s="40" t="inlineStr">
        <is>
          <t>Los militares en la misma zona que tu capital tienen +1 de fuerza.</t>
        </is>
      </c>
      <c r="K168" s="40" t="inlineStr">
        <is>
          <t>Capital próspera (T126); Cuarteles (T158)</t>
        </is>
      </c>
      <c r="L168" s="41">
        <f>IF(C168=1,0,CHOOSE(C168-1,Reglas!$C$6,Reglas!$C$7,Reglas!$C$8,Reglas!$C$9))</f>
        <v/>
      </c>
      <c r="M168" s="41" t="inlineStr">
        <is>
          <t>Mía</t>
        </is>
      </c>
      <c r="N168" s="41" t="n">
        <v>3</v>
      </c>
      <c r="O168" s="41" t="inlineStr">
        <is>
          <t>Bajo</t>
        </is>
      </c>
      <c r="P168" s="40" t="inlineStr">
        <is>
          <t>Hace más fuerte la defensa de la capital.</t>
        </is>
      </c>
      <c r="Q168" s="41" t="n"/>
    </row>
    <row r="169" ht="15" customHeight="1" s="27">
      <c r="A169" s="41" t="inlineStr">
        <is>
          <t>T168</t>
        </is>
      </c>
      <c r="B169" s="42" t="inlineStr">
        <is>
          <t>Reservistas</t>
        </is>
      </c>
      <c r="C169" s="41" t="n">
        <v>3</v>
      </c>
      <c r="D169" s="41">
        <f>IF(Q169="Sí",0,C169*Reglas!$C$5)</f>
        <v/>
      </c>
      <c r="E169" s="40" t="inlineStr">
        <is>
          <t>Militar</t>
        </is>
      </c>
      <c r="F169" s="40" t="inlineStr">
        <is>
          <t>Cuartel y entrenamiento</t>
        </is>
      </c>
      <c r="G169" s="41" t="inlineStr">
        <is>
          <t>Opcional</t>
        </is>
      </c>
      <c r="H169" s="40" t="inlineStr">
        <is>
          <t>Entrenamiento</t>
        </is>
      </c>
      <c r="I169" s="40" t="inlineStr">
        <is>
          <t>Combate</t>
        </is>
      </c>
      <c r="J169" s="40" t="inlineStr">
        <is>
          <t>Convertir militares en civiles no cuesta producción.</t>
        </is>
      </c>
      <c r="K169" s="40" t="inlineStr">
        <is>
          <t>Cuarteles (T158)</t>
        </is>
      </c>
      <c r="L169" s="41">
        <f>IF(C169=1,0,CHOOSE(C169-1,Reglas!$C$6,Reglas!$C$7,Reglas!$C$8,Reglas!$C$9))</f>
        <v/>
      </c>
      <c r="M169" s="41" t="inlineStr">
        <is>
          <t>Mía</t>
        </is>
      </c>
      <c r="N169" s="41" t="n">
        <v>3</v>
      </c>
      <c r="O169" s="41" t="inlineStr">
        <is>
          <t>Bajo</t>
        </is>
      </c>
      <c r="P169" s="40" t="inlineStr">
        <is>
          <t>Hace barato pasar de guerra a paz; evita ejércitos inútiles.</t>
        </is>
      </c>
      <c r="Q169" s="41" t="n"/>
    </row>
    <row r="170" ht="23.25" customHeight="1" s="27">
      <c r="A170" s="41" t="inlineStr">
        <is>
          <t>T169</t>
        </is>
      </c>
      <c r="B170" s="42" t="inlineStr">
        <is>
          <t>Veteranos de guerra</t>
        </is>
      </c>
      <c r="C170" s="41" t="n">
        <v>3</v>
      </c>
      <c r="D170" s="41">
        <f>IF(Q170="Sí",0,C170*Reglas!$C$5)</f>
        <v/>
      </c>
      <c r="E170" s="40" t="inlineStr">
        <is>
          <t>Militar</t>
        </is>
      </c>
      <c r="F170" s="40" t="inlineStr">
        <is>
          <t>Cuartel y entrenamiento</t>
        </is>
      </c>
      <c r="G170" s="41" t="inlineStr">
        <is>
          <t>Opcional</t>
        </is>
      </c>
      <c r="H170" s="40" t="inlineStr">
        <is>
          <t>Entrenamiento</t>
        </is>
      </c>
      <c r="I170" s="40" t="inlineStr">
        <is>
          <t>Combate</t>
        </is>
      </c>
      <c r="J170" s="40" t="inlineStr">
        <is>
          <t>Los militares que sobreviven a 3 combates tienen +1 de defensa.</t>
        </is>
      </c>
      <c r="K170" s="40" t="inlineStr">
        <is>
          <t>Entrenamiento continuo (T160)</t>
        </is>
      </c>
      <c r="L170" s="41">
        <f>IF(C170=1,0,CHOOSE(C170-1,Reglas!$C$6,Reglas!$C$7,Reglas!$C$8,Reglas!$C$9))</f>
        <v/>
      </c>
      <c r="M170" s="41" t="inlineStr">
        <is>
          <t>Mía</t>
        </is>
      </c>
      <c r="N170" s="41" t="n">
        <v>3</v>
      </c>
      <c r="O170" s="41" t="inlineStr">
        <is>
          <t>Bajo</t>
        </is>
      </c>
      <c r="P170" s="40" t="inlineStr">
        <is>
          <t>Premia a quien mantiene ejércitos vivos; requiere llevar la cuenta de combates por unidad.</t>
        </is>
      </c>
      <c r="Q170" s="41" t="n"/>
    </row>
    <row r="171" ht="23.25" customHeight="1" s="27">
      <c r="A171" s="41" t="inlineStr">
        <is>
          <t>T170</t>
        </is>
      </c>
      <c r="B171" s="42" t="inlineStr">
        <is>
          <t>Marcha relámpago</t>
        </is>
      </c>
      <c r="C171" s="41" t="n">
        <v>4</v>
      </c>
      <c r="D171" s="41">
        <f>IF(Q171="Sí",0,C171*Reglas!$C$5)</f>
        <v/>
      </c>
      <c r="E171" s="40" t="inlineStr">
        <is>
          <t>Militar</t>
        </is>
      </c>
      <c r="F171" s="40" t="inlineStr">
        <is>
          <t>Cuartel y entrenamiento</t>
        </is>
      </c>
      <c r="G171" s="41" t="inlineStr">
        <is>
          <t>Opcional</t>
        </is>
      </c>
      <c r="H171" s="40" t="inlineStr">
        <is>
          <t>Cuartel</t>
        </is>
      </c>
      <c r="I171" s="40" t="inlineStr">
        <is>
          <t>Mejora de edificio</t>
        </is>
      </c>
      <c r="J171" s="40" t="inlineStr">
        <is>
          <t>El Cuartel permite moverse 3 zonas extra en un turno.</t>
        </is>
      </c>
      <c r="K171" s="40" t="inlineStr">
        <is>
          <t>Marcha forzada (T159); Suministros de campaña (T197)</t>
        </is>
      </c>
      <c r="L171" s="41">
        <f>IF(C171=1,0,CHOOSE(C171-1,Reglas!$C$6,Reglas!$C$7,Reglas!$C$8,Reglas!$C$9))</f>
        <v/>
      </c>
      <c r="M171" s="41" t="inlineStr">
        <is>
          <t>Mía</t>
        </is>
      </c>
      <c r="N171" s="41" t="n">
        <v>2</v>
      </c>
      <c r="O171" s="41" t="inlineStr">
        <is>
          <t>Alto</t>
        </is>
      </c>
      <c r="P171" s="40" t="inlineStr">
        <is>
          <t>Casi teletransporta ejércitos y puede romper la idea de 'un paso = una decisión'. Solo sensata con el costo en oro.</t>
        </is>
      </c>
      <c r="Q171" s="41" t="n"/>
    </row>
    <row r="172" ht="23.25" customHeight="1" s="27">
      <c r="A172" s="41" t="inlineStr">
        <is>
          <t>T171</t>
        </is>
      </c>
      <c r="B172" s="42" t="inlineStr">
        <is>
          <t>Ejército permanente</t>
        </is>
      </c>
      <c r="C172" s="41" t="n">
        <v>5</v>
      </c>
      <c r="D172" s="41">
        <f>IF(Q172="Sí",0,C172*Reglas!$C$5)</f>
        <v/>
      </c>
      <c r="E172" s="40" t="inlineStr">
        <is>
          <t>Militar</t>
        </is>
      </c>
      <c r="F172" s="40" t="inlineStr">
        <is>
          <t>Cuartel y entrenamiento</t>
        </is>
      </c>
      <c r="G172" s="41" t="inlineStr">
        <is>
          <t>Opcional</t>
        </is>
      </c>
      <c r="H172" s="40" t="inlineStr">
        <is>
          <t>Cuartel</t>
        </is>
      </c>
      <c r="I172" s="40" t="inlineStr">
        <is>
          <t>Mejora de edificio</t>
        </is>
      </c>
      <c r="J172" s="40" t="inlineStr">
        <is>
          <t>Todos los militares de la zona del Cuartel dejan de consumir comida (no solo los que trabajan en él).</t>
        </is>
      </c>
      <c r="K172" s="40" t="inlineStr">
        <is>
          <t>Guardia de élite (T162); Marcha relámpago (T170)</t>
        </is>
      </c>
      <c r="L172" s="41">
        <f>IF(C172=1,0,CHOOSE(C172-1,Reglas!$C$6,Reglas!$C$7,Reglas!$C$8,Reglas!$C$9))</f>
        <v/>
      </c>
      <c r="M172" s="41" t="inlineStr">
        <is>
          <t>Mía</t>
        </is>
      </c>
      <c r="N172" s="41" t="n">
        <v>3</v>
      </c>
      <c r="O172" s="41" t="inlineStr">
        <is>
          <t>Alto</t>
        </is>
      </c>
      <c r="P172" s="40" t="inlineStr">
        <is>
          <t>Muy fuerte como economía de guerra: con varios cuarteles se sostienen ejércitos enormes casi gratis. Vigilar.</t>
        </is>
      </c>
      <c r="Q172" s="41" t="n"/>
    </row>
    <row r="173" ht="23.25" customHeight="1" s="27">
      <c r="A173" s="38" t="inlineStr">
        <is>
          <t>T172</t>
        </is>
      </c>
      <c r="B173" s="39" t="inlineStr">
        <is>
          <t>Fortificaciones</t>
        </is>
      </c>
      <c r="C173" s="38" t="n">
        <v>1</v>
      </c>
      <c r="D173" s="38">
        <f>IF(Q173="Sí",0,C173*Reglas!$C$5)</f>
        <v/>
      </c>
      <c r="E173" s="40" t="inlineStr">
        <is>
          <t>Militar</t>
        </is>
      </c>
      <c r="F173" s="40" t="inlineStr">
        <is>
          <t>Defensa</t>
        </is>
      </c>
      <c r="G173" s="38" t="inlineStr">
        <is>
          <t>Vertebral</t>
        </is>
      </c>
      <c r="H173" s="40" t="inlineStr">
        <is>
          <t>Fortificación</t>
        </is>
      </c>
      <c r="I173" s="40" t="inlineStr">
        <is>
          <t>Desbloqueo de edificio</t>
        </is>
      </c>
      <c r="J173" s="40" t="inlineStr">
        <is>
          <t>Permite construir la Fortificación: los defensores de la zona tienen +1 de defensa.</t>
        </is>
      </c>
      <c r="K173" s="40" t="inlineStr">
        <is>
          <t>—</t>
        </is>
      </c>
      <c r="L173" s="41">
        <f>IF(C173=1,0,CHOOSE(C173-1,Reglas!$C$6,Reglas!$C$7,Reglas!$C$8,Reglas!$C$9))</f>
        <v/>
      </c>
      <c r="M173" s="41" t="inlineStr">
        <is>
          <t>Tuya</t>
        </is>
      </c>
      <c r="N173" s="41" t="n">
        <v>5</v>
      </c>
      <c r="O173" s="41" t="inlineStr">
        <is>
          <t>Bajo</t>
        </is>
      </c>
      <c r="P173" s="40" t="inlineStr">
        <is>
          <t>La base de toda defensa. Simple de entender y barata.</t>
        </is>
      </c>
      <c r="Q173" s="41" t="inlineStr">
        <is>
          <t>Sí</t>
        </is>
      </c>
    </row>
    <row r="174" ht="15" customHeight="1" s="27">
      <c r="A174" s="38" t="inlineStr">
        <is>
          <t>T173</t>
        </is>
      </c>
      <c r="B174" s="39" t="inlineStr">
        <is>
          <t>Fortificación II</t>
        </is>
      </c>
      <c r="C174" s="38" t="n">
        <v>2</v>
      </c>
      <c r="D174" s="38">
        <f>IF(Q174="Sí",0,C174*Reglas!$C$5)</f>
        <v/>
      </c>
      <c r="E174" s="40" t="inlineStr">
        <is>
          <t>Militar</t>
        </is>
      </c>
      <c r="F174" s="40" t="inlineStr">
        <is>
          <t>Defensa</t>
        </is>
      </c>
      <c r="G174" s="38" t="inlineStr">
        <is>
          <t>Vertebral</t>
        </is>
      </c>
      <c r="H174" s="40" t="inlineStr">
        <is>
          <t>Fortificación</t>
        </is>
      </c>
      <c r="I174" s="40" t="inlineStr">
        <is>
          <t>Mejora de edificio</t>
        </is>
      </c>
      <c r="J174" s="40" t="inlineStr">
        <is>
          <t>Los defensores tienen +2 de defensa (en vez de +1).</t>
        </is>
      </c>
      <c r="K174" s="40" t="inlineStr">
        <is>
          <t>Fortificaciones (T172)</t>
        </is>
      </c>
      <c r="L174" s="41">
        <f>IF(C174=1,0,CHOOSE(C174-1,Reglas!$C$6,Reglas!$C$7,Reglas!$C$8,Reglas!$C$9))</f>
        <v/>
      </c>
      <c r="M174" s="41" t="inlineStr">
        <is>
          <t>Tuya</t>
        </is>
      </c>
      <c r="N174" s="41" t="n">
        <v>4</v>
      </c>
      <c r="O174" s="41" t="inlineStr">
        <is>
          <t>Bajo</t>
        </is>
      </c>
      <c r="P174" s="40" t="inlineStr">
        <is>
          <t>Buen salto para zonas clave como la capital.</t>
        </is>
      </c>
      <c r="Q174" s="41" t="n"/>
    </row>
    <row r="175" ht="23.25" customHeight="1" s="27">
      <c r="A175" s="38" t="inlineStr">
        <is>
          <t>T174</t>
        </is>
      </c>
      <c r="B175" s="39" t="inlineStr">
        <is>
          <t>Fortificación III</t>
        </is>
      </c>
      <c r="C175" s="38" t="n">
        <v>3</v>
      </c>
      <c r="D175" s="38">
        <f>IF(Q175="Sí",0,C175*Reglas!$C$5)</f>
        <v/>
      </c>
      <c r="E175" s="40" t="inlineStr">
        <is>
          <t>Militar</t>
        </is>
      </c>
      <c r="F175" s="40" t="inlineStr">
        <is>
          <t>Defensa</t>
        </is>
      </c>
      <c r="G175" s="38" t="inlineStr">
        <is>
          <t>Vertebral</t>
        </is>
      </c>
      <c r="H175" s="40" t="inlineStr">
        <is>
          <t>Fortificación</t>
        </is>
      </c>
      <c r="I175" s="40" t="inlineStr">
        <is>
          <t>Mejora de edificio</t>
        </is>
      </c>
      <c r="J175" s="40" t="inlineStr">
        <is>
          <t>Los defensores tienen +3 de defensa (en vez de +1).</t>
        </is>
      </c>
      <c r="K175" s="40" t="inlineStr">
        <is>
          <t>Fortificación II (T173)</t>
        </is>
      </c>
      <c r="L175" s="41">
        <f>IF(C175=1,0,CHOOSE(C175-1,Reglas!$C$6,Reglas!$C$7,Reglas!$C$8,Reglas!$C$9))</f>
        <v/>
      </c>
      <c r="M175" s="41" t="inlineStr">
        <is>
          <t>Tuya</t>
        </is>
      </c>
      <c r="N175" s="41" t="n">
        <v>3</v>
      </c>
      <c r="O175" s="41" t="inlineStr">
        <is>
          <t>Medio</t>
        </is>
      </c>
      <c r="P175" s="40" t="inlineStr">
        <is>
          <t>Con 3 de defensa y 3 de vida, cada unidad absorbe 6 de daño. Hacen falta los arietes de asedio para no volver inconquistables las zonas fuertes.</t>
        </is>
      </c>
      <c r="Q175" s="41" t="n"/>
    </row>
    <row r="176" ht="15" customHeight="1" s="27">
      <c r="A176" s="38" t="inlineStr">
        <is>
          <t>T175</t>
        </is>
      </c>
      <c r="B176" s="39" t="inlineStr">
        <is>
          <t>Torres de vigilancia</t>
        </is>
      </c>
      <c r="C176" s="38" t="n">
        <v>4</v>
      </c>
      <c r="D176" s="38">
        <f>IF(Q176="Sí",0,C176*Reglas!$C$5)</f>
        <v/>
      </c>
      <c r="E176" s="40" t="inlineStr">
        <is>
          <t>Militar</t>
        </is>
      </c>
      <c r="F176" s="40" t="inlineStr">
        <is>
          <t>Defensa</t>
        </is>
      </c>
      <c r="G176" s="38" t="inlineStr">
        <is>
          <t>Vertebral</t>
        </is>
      </c>
      <c r="H176" s="40" t="inlineStr">
        <is>
          <t>Fortificación</t>
        </is>
      </c>
      <c r="I176" s="40" t="inlineStr">
        <is>
          <t>Especialización de edificio</t>
        </is>
      </c>
      <c r="J176" s="40" t="inlineStr">
        <is>
          <t>Esp.: los arqueros defensores de la zona tienen +1 de fuerza.</t>
        </is>
      </c>
      <c r="K176" s="40" t="inlineStr">
        <is>
          <t>Fortificación III (T174)</t>
        </is>
      </c>
      <c r="L176" s="41">
        <f>IF(C176=1,0,CHOOSE(C176-1,Reglas!$C$6,Reglas!$C$7,Reglas!$C$8,Reglas!$C$9))</f>
        <v/>
      </c>
      <c r="M176" s="41" t="inlineStr">
        <is>
          <t>Mía</t>
        </is>
      </c>
      <c r="N176" s="41" t="n">
        <v>4</v>
      </c>
      <c r="O176" s="41" t="inlineStr">
        <is>
          <t>Medio</t>
        </is>
      </c>
      <c r="P176" s="40" t="inlineStr">
        <is>
          <t>Une dos ramas con sentido. Se suma a los bonos de Ríos y de Hospital.</t>
        </is>
      </c>
      <c r="Q176" s="41" t="n"/>
    </row>
    <row r="177" ht="15" customHeight="1" s="27">
      <c r="A177" s="38" t="inlineStr">
        <is>
          <t>T176</t>
        </is>
      </c>
      <c r="B177" s="39" t="inlineStr">
        <is>
          <t>Murallas altas</t>
        </is>
      </c>
      <c r="C177" s="38" t="n">
        <v>4</v>
      </c>
      <c r="D177" s="38">
        <f>IF(Q177="Sí",0,C177*Reglas!$C$5)</f>
        <v/>
      </c>
      <c r="E177" s="40" t="inlineStr">
        <is>
          <t>Militar</t>
        </is>
      </c>
      <c r="F177" s="40" t="inlineStr">
        <is>
          <t>Defensa</t>
        </is>
      </c>
      <c r="G177" s="38" t="inlineStr">
        <is>
          <t>Vertebral</t>
        </is>
      </c>
      <c r="H177" s="40" t="inlineStr">
        <is>
          <t>Fortificación</t>
        </is>
      </c>
      <c r="I177" s="40" t="inlineStr">
        <is>
          <t>Especialización de edificio</t>
        </is>
      </c>
      <c r="J177" s="40" t="inlineStr">
        <is>
          <t>Esp.: los atacantes no tienen ventaja de sorpresa contra esta zona.</t>
        </is>
      </c>
      <c r="K177" s="40" t="inlineStr">
        <is>
          <t>Fortificación III (T174)</t>
        </is>
      </c>
      <c r="L177" s="41">
        <f>IF(C177=1,0,CHOOSE(C177-1,Reglas!$C$6,Reglas!$C$7,Reglas!$C$8,Reglas!$C$9))</f>
        <v/>
      </c>
      <c r="M177" s="41" t="inlineStr">
        <is>
          <t>Mía</t>
        </is>
      </c>
      <c r="N177" s="41" t="n">
        <v>4</v>
      </c>
      <c r="O177" s="41" t="inlineStr">
        <is>
          <t>Medio</t>
        </is>
      </c>
      <c r="P177" s="40" t="inlineStr">
        <is>
          <t>Defensa contra el ataque sorpresa, que es una pieza clave del dilema paz/ataque.</t>
        </is>
      </c>
      <c r="Q177" s="41" t="n"/>
    </row>
    <row r="178" ht="23.25" customHeight="1" s="27">
      <c r="A178" s="38" t="inlineStr">
        <is>
          <t>T177</t>
        </is>
      </c>
      <c r="B178" s="39" t="inlineStr">
        <is>
          <t>Ciudadela</t>
        </is>
      </c>
      <c r="C178" s="38" t="n">
        <v>5</v>
      </c>
      <c r="D178" s="38">
        <f>IF(Q178="Sí",0,C178*Reglas!$C$5)</f>
        <v/>
      </c>
      <c r="E178" s="40" t="inlineStr">
        <is>
          <t>Militar</t>
        </is>
      </c>
      <c r="F178" s="40" t="inlineStr">
        <is>
          <t>Defensa</t>
        </is>
      </c>
      <c r="G178" s="38" t="inlineStr">
        <is>
          <t>Vertebral</t>
        </is>
      </c>
      <c r="H178" s="40" t="inlineStr">
        <is>
          <t>Fortificación</t>
        </is>
      </c>
      <c r="I178" s="40" t="inlineStr">
        <is>
          <t>Mejora de edificio</t>
        </is>
      </c>
      <c r="J178" s="40" t="inlineStr">
        <is>
          <t>Desbloquea El Bastión Eterno, la maravilla de Defensa (única en la partida): tus defensores tienen +4 de defensa y +1 de vida mientras controles su zona. Solo se puede investigar si nadie la ha construido.</t>
        </is>
      </c>
      <c r="K178" s="40" t="inlineStr">
        <is>
          <t>Torres de vigilancia (T175); Murallas altas (T176)</t>
        </is>
      </c>
      <c r="L178" s="41">
        <f>IF(C178=1,0,CHOOSE(C178-1,Reglas!$C$6,Reglas!$C$7,Reglas!$C$8,Reglas!$C$9))</f>
        <v/>
      </c>
      <c r="M178" s="41" t="inlineStr">
        <is>
          <t>Mía</t>
        </is>
      </c>
      <c r="N178" s="41" t="n">
        <v>2</v>
      </c>
      <c r="O178" s="41" t="inlineStr">
        <is>
          <t>Alto</t>
        </is>
      </c>
      <c r="P178" s="40" t="inlineStr">
        <is>
          <t>Por sí sola no da su efecto: lo da la maravilla. Si otro la termina antes, pierdes la obra y recuperas la mitad de la producción, pero conservas la tecnología (cuenta para la victoria tecnológica).</t>
        </is>
      </c>
      <c r="Q178" s="41" t="n"/>
    </row>
    <row r="179" ht="23.25" customHeight="1" s="27">
      <c r="A179" s="41" t="inlineStr">
        <is>
          <t>T178</t>
        </is>
      </c>
      <c r="B179" s="42" t="inlineStr">
        <is>
          <t>Guardia ribereña</t>
        </is>
      </c>
      <c r="C179" s="41" t="n">
        <v>2</v>
      </c>
      <c r="D179" s="41">
        <f>IF(Q179="Sí",0,C179*Reglas!$C$5)</f>
        <v/>
      </c>
      <c r="E179" s="40" t="inlineStr">
        <is>
          <t>Militar</t>
        </is>
      </c>
      <c r="F179" s="40" t="inlineStr">
        <is>
          <t>Defensa</t>
        </is>
      </c>
      <c r="G179" s="41" t="inlineStr">
        <is>
          <t>Opcional</t>
        </is>
      </c>
      <c r="H179" s="40" t="inlineStr">
        <is>
          <t>Terreno militar</t>
        </is>
      </c>
      <c r="I179" s="40" t="inlineStr">
        <is>
          <t>Terreno militar</t>
        </is>
      </c>
      <c r="J179" s="40" t="inlineStr">
        <is>
          <t>En Ríos, los arqueros defensores tienen +1 de fuerza adicional.</t>
        </is>
      </c>
      <c r="K179" s="40" t="inlineStr">
        <is>
          <t>Arco (T135)</t>
        </is>
      </c>
      <c r="L179" s="41">
        <f>IF(C179=1,0,CHOOSE(C179-1,Reglas!$C$6,Reglas!$C$7,Reglas!$C$8,Reglas!$C$9))</f>
        <v/>
      </c>
      <c r="M179" s="41" t="inlineStr">
        <is>
          <t>Mía</t>
        </is>
      </c>
      <c r="N179" s="41" t="n">
        <v>3</v>
      </c>
      <c r="O179" s="41" t="inlineStr">
        <is>
          <t>Medio</t>
        </is>
      </c>
      <c r="P179" s="40" t="inlineStr">
        <is>
          <t>Con Ríos ya dando +1 de fuerza a arqueros defensores, esto los lleva a +2. Hace muy duras las zonas de río.</t>
        </is>
      </c>
      <c r="Q179" s="41" t="n"/>
    </row>
    <row r="180" ht="23.25" customHeight="1" s="27">
      <c r="A180" s="41" t="inlineStr">
        <is>
          <t>T179</t>
        </is>
      </c>
      <c r="B180" s="42" t="inlineStr">
        <is>
          <t>Trampas</t>
        </is>
      </c>
      <c r="C180" s="41" t="n">
        <v>2</v>
      </c>
      <c r="D180" s="41">
        <f>IF(Q180="Sí",0,C180*Reglas!$C$5)</f>
        <v/>
      </c>
      <c r="E180" s="40" t="inlineStr">
        <is>
          <t>Militar</t>
        </is>
      </c>
      <c r="F180" s="40" t="inlineStr">
        <is>
          <t>Defensa</t>
        </is>
      </c>
      <c r="G180" s="41" t="inlineStr">
        <is>
          <t>Opcional</t>
        </is>
      </c>
      <c r="H180" s="40" t="inlineStr">
        <is>
          <t>Fortificación</t>
        </is>
      </c>
      <c r="I180" s="40" t="inlineStr">
        <is>
          <t>Combate</t>
        </is>
      </c>
      <c r="J180" s="40" t="inlineStr">
        <is>
          <t>Los atacantes de una zona con Fortificación reciben 1 de daño por unidad al entrar.</t>
        </is>
      </c>
      <c r="K180" s="40" t="inlineStr">
        <is>
          <t>Fortificaciones (T172)</t>
        </is>
      </c>
      <c r="L180" s="41">
        <f>IF(C180=1,0,CHOOSE(C180-1,Reglas!$C$6,Reglas!$C$7,Reglas!$C$8,Reglas!$C$9))</f>
        <v/>
      </c>
      <c r="M180" s="41" t="inlineStr">
        <is>
          <t>Mía</t>
        </is>
      </c>
      <c r="N180" s="41" t="n">
        <v>3</v>
      </c>
      <c r="O180" s="41" t="inlineStr">
        <is>
          <t>Medio</t>
        </is>
      </c>
      <c r="P180" s="40" t="inlineStr">
        <is>
          <t>Divertido, pero requiere llevar la cuenta del daño.</t>
        </is>
      </c>
      <c r="Q180" s="41" t="n"/>
    </row>
    <row r="181" ht="23.25" customHeight="1" s="27">
      <c r="A181" s="41" t="inlineStr">
        <is>
          <t>T180</t>
        </is>
      </c>
      <c r="B181" s="42" t="inlineStr">
        <is>
          <t>Capital fortificada</t>
        </is>
      </c>
      <c r="C181" s="41" t="n">
        <v>3</v>
      </c>
      <c r="D181" s="41">
        <f>IF(Q181="Sí",0,C181*Reglas!$C$5)</f>
        <v/>
      </c>
      <c r="E181" s="40" t="inlineStr">
        <is>
          <t>Militar</t>
        </is>
      </c>
      <c r="F181" s="40" t="inlineStr">
        <is>
          <t>Defensa</t>
        </is>
      </c>
      <c r="G181" s="41" t="inlineStr">
        <is>
          <t>Opcional</t>
        </is>
      </c>
      <c r="H181" s="40" t="inlineStr">
        <is>
          <t>Imperio</t>
        </is>
      </c>
      <c r="I181" s="40" t="inlineStr">
        <is>
          <t>Imperio</t>
        </is>
      </c>
      <c r="J181" s="40" t="inlineStr">
        <is>
          <t>Los defensores de tu capital tienen +2 de defensa.</t>
        </is>
      </c>
      <c r="K181" s="40" t="inlineStr">
        <is>
          <t>Capital próspera (T126); Fortificaciones (T172)</t>
        </is>
      </c>
      <c r="L181" s="41">
        <f>IF(C181=1,0,CHOOSE(C181-1,Reglas!$C$6,Reglas!$C$7,Reglas!$C$8,Reglas!$C$9))</f>
        <v/>
      </c>
      <c r="M181" s="41" t="inlineStr">
        <is>
          <t>Mía</t>
        </is>
      </c>
      <c r="N181" s="41" t="n">
        <v>3</v>
      </c>
      <c r="O181" s="41" t="inlineStr">
        <is>
          <t>Bajo</t>
        </is>
      </c>
      <c r="P181" s="40" t="inlineStr">
        <is>
          <t>Hace más costosa la derrota de la capital (condición Militar).</t>
        </is>
      </c>
      <c r="Q181" s="41" t="n"/>
    </row>
    <row r="182" ht="15" customHeight="1" s="27">
      <c r="A182" s="41" t="inlineStr">
        <is>
          <t>T181</t>
        </is>
      </c>
      <c r="B182" s="42" t="inlineStr">
        <is>
          <t>Ingenieros militares</t>
        </is>
      </c>
      <c r="C182" s="41" t="n">
        <v>3</v>
      </c>
      <c r="D182" s="41">
        <f>IF(Q182="Sí",0,C182*Reglas!$C$5)</f>
        <v/>
      </c>
      <c r="E182" s="40" t="inlineStr">
        <is>
          <t>Militar</t>
        </is>
      </c>
      <c r="F182" s="40" t="inlineStr">
        <is>
          <t>Defensa</t>
        </is>
      </c>
      <c r="G182" s="41" t="inlineStr">
        <is>
          <t>Opcional</t>
        </is>
      </c>
      <c r="H182" s="40" t="inlineStr">
        <is>
          <t>Fortificación</t>
        </is>
      </c>
      <c r="I182" s="40" t="inlineStr">
        <is>
          <t>Mejora de edificio</t>
        </is>
      </c>
      <c r="J182" s="40" t="inlineStr">
        <is>
          <t>Las Fortificaciones cuestan la mitad de producción.</t>
        </is>
      </c>
      <c r="K182" s="40" t="inlineStr">
        <is>
          <t>Fortificaciones (T172); Herramientas (T018)</t>
        </is>
      </c>
      <c r="L182" s="41">
        <f>IF(C182=1,0,CHOOSE(C182-1,Reglas!$C$6,Reglas!$C$7,Reglas!$C$8,Reglas!$C$9))</f>
        <v/>
      </c>
      <c r="M182" s="41" t="inlineStr">
        <is>
          <t>Mía</t>
        </is>
      </c>
      <c r="N182" s="41" t="n">
        <v>3</v>
      </c>
      <c r="O182" s="41" t="inlineStr">
        <is>
          <t>Bajo</t>
        </is>
      </c>
      <c r="P182" s="40" t="inlineStr">
        <is>
          <t>Ahorro moderado.</t>
        </is>
      </c>
      <c r="Q182" s="41" t="n"/>
    </row>
    <row r="183" ht="23.25" customHeight="1" s="27">
      <c r="A183" s="41" t="inlineStr">
        <is>
          <t>T182</t>
        </is>
      </c>
      <c r="B183" s="42" t="inlineStr">
        <is>
          <t>Carga en la pradera</t>
        </is>
      </c>
      <c r="C183" s="41" t="n">
        <v>4</v>
      </c>
      <c r="D183" s="41">
        <f>IF(Q183="Sí",0,C183*Reglas!$C$5)</f>
        <v/>
      </c>
      <c r="E183" s="40" t="inlineStr">
        <is>
          <t>Militar</t>
        </is>
      </c>
      <c r="F183" s="40" t="inlineStr">
        <is>
          <t>Defensa</t>
        </is>
      </c>
      <c r="G183" s="41" t="inlineStr">
        <is>
          <t>Opcional</t>
        </is>
      </c>
      <c r="H183" s="40" t="inlineStr">
        <is>
          <t>Terreno militar</t>
        </is>
      </c>
      <c r="I183" s="40" t="inlineStr">
        <is>
          <t>Terreno militar</t>
        </is>
      </c>
      <c r="J183" s="40" t="inlineStr">
        <is>
          <t>En Praderas, los caballeros defensores tienen +1 de ataque.</t>
        </is>
      </c>
      <c r="K183" s="40" t="inlineStr">
        <is>
          <t>Doma de caballos (T137)</t>
        </is>
      </c>
      <c r="L183" s="41">
        <f>IF(C183=1,0,CHOOSE(C183-1,Reglas!$C$6,Reglas!$C$7,Reglas!$C$8,Reglas!$C$9))</f>
        <v/>
      </c>
      <c r="M183" s="41" t="inlineStr">
        <is>
          <t>Mía</t>
        </is>
      </c>
      <c r="N183" s="41" t="n">
        <v>3</v>
      </c>
      <c r="O183" s="41" t="inlineStr">
        <is>
          <t>Medio</t>
        </is>
      </c>
      <c r="P183" s="40" t="inlineStr">
        <is>
          <t>Los caballeros defensores ya actúan con iniciativa 0 en Praderas; el +1 de ataque los vuelve muy letales al defender.</t>
        </is>
      </c>
      <c r="Q183" s="41" t="n"/>
    </row>
    <row r="184" ht="23.25" customHeight="1" s="27">
      <c r="A184" s="41" t="inlineStr">
        <is>
          <t>T183</t>
        </is>
      </c>
      <c r="B184" s="42" t="inlineStr">
        <is>
          <t>Fortaleza de montaña</t>
        </is>
      </c>
      <c r="C184" s="41" t="n">
        <v>4</v>
      </c>
      <c r="D184" s="41">
        <f>IF(Q184="Sí",0,C184*Reglas!$C$5)</f>
        <v/>
      </c>
      <c r="E184" s="40" t="inlineStr">
        <is>
          <t>Militar</t>
        </is>
      </c>
      <c r="F184" s="40" t="inlineStr">
        <is>
          <t>Defensa</t>
        </is>
      </c>
      <c r="G184" s="41" t="inlineStr">
        <is>
          <t>Opcional</t>
        </is>
      </c>
      <c r="H184" s="40" t="inlineStr">
        <is>
          <t>Terreno militar</t>
        </is>
      </c>
      <c r="I184" s="40" t="inlineStr">
        <is>
          <t>Terreno militar</t>
        </is>
      </c>
      <c r="J184" s="40" t="inlineStr">
        <is>
          <t>En Montañas, los berserkers defensores actúan con iniciativa 1.</t>
        </is>
      </c>
      <c r="K184" s="40" t="inlineStr">
        <is>
          <t>Forja de hachas (T138)</t>
        </is>
      </c>
      <c r="L184" s="41">
        <f>IF(C184=1,0,CHOOSE(C184-1,Reglas!$C$6,Reglas!$C$7,Reglas!$C$8,Reglas!$C$9))</f>
        <v/>
      </c>
      <c r="M184" s="41" t="inlineStr">
        <is>
          <t>Mía</t>
        </is>
      </c>
      <c r="N184" s="41" t="n">
        <v>3</v>
      </c>
      <c r="O184" s="41" t="inlineStr">
        <is>
          <t>Medio</t>
        </is>
      </c>
      <c r="P184" s="40" t="inlineStr">
        <is>
          <t>Con iniciativa 2 en Montañas ya eran rápidos; con 1 casi siempre golpean antes que casi todo el ejército enemigo.</t>
        </is>
      </c>
      <c r="Q184" s="41" t="n"/>
    </row>
    <row r="185" ht="15" customHeight="1" s="27">
      <c r="A185" s="38" t="inlineStr">
        <is>
          <t>T184</t>
        </is>
      </c>
      <c r="B185" s="39" t="inlineStr">
        <is>
          <t>Exploradores</t>
        </is>
      </c>
      <c r="C185" s="38" t="n">
        <v>1</v>
      </c>
      <c r="D185" s="38">
        <f>IF(Q185="Sí",0,C185*Reglas!$C$5)</f>
        <v/>
      </c>
      <c r="E185" s="40" t="inlineStr">
        <is>
          <t>Militar</t>
        </is>
      </c>
      <c r="F185" s="40" t="inlineStr">
        <is>
          <t>Guerra y conquista</t>
        </is>
      </c>
      <c r="G185" s="38" t="inlineStr">
        <is>
          <t>Vertebral</t>
        </is>
      </c>
      <c r="H185" s="40" t="inlineStr">
        <is>
          <t>Combate</t>
        </is>
      </c>
      <c r="I185" s="40" t="inlineStr">
        <is>
          <t>Información</t>
        </is>
      </c>
      <c r="J185" s="40" t="inlineStr">
        <is>
          <t>Ves a los militares de las zonas vecinas a tus fronteras.</t>
        </is>
      </c>
      <c r="K185" s="40" t="inlineStr">
        <is>
          <t>—</t>
        </is>
      </c>
      <c r="L185" s="41">
        <f>IF(C185=1,0,CHOOSE(C185-1,Reglas!$C$6,Reglas!$C$7,Reglas!$C$8,Reglas!$C$9))</f>
        <v/>
      </c>
      <c r="M185" s="41" t="inlineStr">
        <is>
          <t>Mía</t>
        </is>
      </c>
      <c r="N185" s="41" t="n">
        <v>3</v>
      </c>
      <c r="O185" s="41" t="inlineStr">
        <is>
          <t>Bajo</t>
        </is>
      </c>
      <c r="P185" s="40" t="inlineStr">
        <is>
          <t>Información básica; barata.</t>
        </is>
      </c>
      <c r="Q185" s="41" t="n"/>
    </row>
    <row r="186" ht="23.25" customHeight="1" s="27">
      <c r="A186" s="38" t="inlineStr">
        <is>
          <t>T185</t>
        </is>
      </c>
      <c r="B186" s="39" t="inlineStr">
        <is>
          <t>Saqueo</t>
        </is>
      </c>
      <c r="C186" s="38" t="n">
        <v>2</v>
      </c>
      <c r="D186" s="38">
        <f>IF(Q186="Sí",0,C186*Reglas!$C$5)</f>
        <v/>
      </c>
      <c r="E186" s="40" t="inlineStr">
        <is>
          <t>Militar</t>
        </is>
      </c>
      <c r="F186" s="40" t="inlineStr">
        <is>
          <t>Guerra y conquista</t>
        </is>
      </c>
      <c r="G186" s="38" t="inlineStr">
        <is>
          <t>Vertebral</t>
        </is>
      </c>
      <c r="H186" s="40" t="inlineStr">
        <is>
          <t>Combate</t>
        </is>
      </c>
      <c r="I186" s="40" t="inlineStr">
        <is>
          <t>Conquista</t>
        </is>
      </c>
      <c r="J186" s="40" t="inlineStr">
        <is>
          <t>Al conquistar una zona recibes todo (no solo la mitad) de la producción recuperada al retirar edificios.</t>
        </is>
      </c>
      <c r="K186" s="40" t="inlineStr">
        <is>
          <t>Exploradores (T184)</t>
        </is>
      </c>
      <c r="L186" s="41">
        <f>IF(C186=1,0,CHOOSE(C186-1,Reglas!$C$6,Reglas!$C$7,Reglas!$C$8,Reglas!$C$9))</f>
        <v/>
      </c>
      <c r="M186" s="41" t="inlineStr">
        <is>
          <t>Mía</t>
        </is>
      </c>
      <c r="N186" s="41" t="n">
        <v>3</v>
      </c>
      <c r="O186" s="41" t="inlineStr">
        <is>
          <t>Medio</t>
        </is>
      </c>
      <c r="P186" s="40" t="inlineStr">
        <is>
          <t>Hace más rentable conquistar.</t>
        </is>
      </c>
      <c r="Q186" s="41" t="n"/>
    </row>
    <row r="187" ht="15" customHeight="1" s="27">
      <c r="A187" s="38" t="inlineStr">
        <is>
          <t>T186</t>
        </is>
      </c>
      <c r="B187" s="39" t="inlineStr">
        <is>
          <t>Contraespionaje</t>
        </is>
      </c>
      <c r="C187" s="38" t="n">
        <v>3</v>
      </c>
      <c r="D187" s="38">
        <f>IF(Q187="Sí",0,C187*Reglas!$C$5)</f>
        <v/>
      </c>
      <c r="E187" s="40" t="inlineStr">
        <is>
          <t>Militar</t>
        </is>
      </c>
      <c r="F187" s="40" t="inlineStr">
        <is>
          <t>Guerra y conquista</t>
        </is>
      </c>
      <c r="G187" s="38" t="inlineStr">
        <is>
          <t>Vertebral</t>
        </is>
      </c>
      <c r="H187" s="40" t="inlineStr">
        <is>
          <t>Combate</t>
        </is>
      </c>
      <c r="I187" s="40" t="inlineStr">
        <is>
          <t>Información</t>
        </is>
      </c>
      <c r="J187" s="40" t="inlineStr">
        <is>
          <t>Los demás jugadores no ven tus militares en tus zonas fronterizas.</t>
        </is>
      </c>
      <c r="K187" s="40" t="inlineStr">
        <is>
          <t>Exploradores (T184)</t>
        </is>
      </c>
      <c r="L187" s="41">
        <f>IF(C187=1,0,CHOOSE(C187-1,Reglas!$C$6,Reglas!$C$7,Reglas!$C$8,Reglas!$C$9))</f>
        <v/>
      </c>
      <c r="M187" s="41" t="inlineStr">
        <is>
          <t>Mía</t>
        </is>
      </c>
      <c r="N187" s="41" t="n">
        <v>3</v>
      </c>
      <c r="O187" s="41" t="inlineStr">
        <is>
          <t>Bajo</t>
        </is>
      </c>
      <c r="P187" s="40" t="inlineStr">
        <is>
          <t>Contrapeso a Exploradores.</t>
        </is>
      </c>
      <c r="Q187" s="41" t="n"/>
    </row>
    <row r="188" ht="15" customHeight="1" s="27">
      <c r="A188" s="38" t="inlineStr">
        <is>
          <t>T187</t>
        </is>
      </c>
      <c r="B188" s="39" t="inlineStr">
        <is>
          <t>Administradores</t>
        </is>
      </c>
      <c r="C188" s="38" t="n">
        <v>3</v>
      </c>
      <c r="D188" s="38">
        <f>IF(Q188="Sí",0,C188*Reglas!$C$5)</f>
        <v/>
      </c>
      <c r="E188" s="40" t="inlineStr">
        <is>
          <t>Militar</t>
        </is>
      </c>
      <c r="F188" s="40" t="inlineStr">
        <is>
          <t>Guerra y conquista</t>
        </is>
      </c>
      <c r="G188" s="38" t="inlineStr">
        <is>
          <t>Vertebral</t>
        </is>
      </c>
      <c r="H188" s="40" t="inlineStr">
        <is>
          <t>Conquista</t>
        </is>
      </c>
      <c r="I188" s="40" t="inlineStr">
        <is>
          <t>Conquista</t>
        </is>
      </c>
      <c r="J188" s="40" t="inlineStr">
        <is>
          <t>Las zonas que conquistas quedan en tamaño 4 (en vez de 3).</t>
        </is>
      </c>
      <c r="K188" s="40" t="inlineStr">
        <is>
          <t>Saqueo (T185)</t>
        </is>
      </c>
      <c r="L188" s="41">
        <f>IF(C188=1,0,CHOOSE(C188-1,Reglas!$C$6,Reglas!$C$7,Reglas!$C$8,Reglas!$C$9))</f>
        <v/>
      </c>
      <c r="M188" s="41" t="inlineStr">
        <is>
          <t>Mía</t>
        </is>
      </c>
      <c r="N188" s="41" t="n">
        <v>3</v>
      </c>
      <c r="O188" s="41" t="inlineStr">
        <is>
          <t>Bajo</t>
        </is>
      </c>
      <c r="P188" s="40" t="inlineStr">
        <is>
          <t>Hace más valiosa la conquista; pesa poco si los tamaños suben rápido.</t>
        </is>
      </c>
      <c r="Q188" s="41" t="n"/>
    </row>
    <row r="189" ht="15" customHeight="1" s="27">
      <c r="A189" s="38" t="inlineStr">
        <is>
          <t>T188</t>
        </is>
      </c>
      <c r="B189" s="39" t="inlineStr">
        <is>
          <t>Emboscadas</t>
        </is>
      </c>
      <c r="C189" s="38" t="n">
        <v>4</v>
      </c>
      <c r="D189" s="38">
        <f>IF(Q189="Sí",0,C189*Reglas!$C$5)</f>
        <v/>
      </c>
      <c r="E189" s="40" t="inlineStr">
        <is>
          <t>Militar</t>
        </is>
      </c>
      <c r="F189" s="40" t="inlineStr">
        <is>
          <t>Guerra y conquista</t>
        </is>
      </c>
      <c r="G189" s="38" t="inlineStr">
        <is>
          <t>Vertebral</t>
        </is>
      </c>
      <c r="H189" s="40" t="inlineStr">
        <is>
          <t>Combate</t>
        </is>
      </c>
      <c r="I189" s="40" t="inlineStr">
        <is>
          <t>Combate</t>
        </is>
      </c>
      <c r="J189" s="40" t="inlineStr">
        <is>
          <t>Tu ventaja de sorpresa al atacar se duplica.</t>
        </is>
      </c>
      <c r="K189" s="40" t="inlineStr">
        <is>
          <t>Contraespionaje (T186)</t>
        </is>
      </c>
      <c r="L189" s="41">
        <f>IF(C189=1,0,CHOOSE(C189-1,Reglas!$C$6,Reglas!$C$7,Reglas!$C$8,Reglas!$C$9))</f>
        <v/>
      </c>
      <c r="M189" s="41" t="inlineStr">
        <is>
          <t>Mía</t>
        </is>
      </c>
      <c r="N189" s="41" t="n">
        <v>3</v>
      </c>
      <c r="O189" s="41" t="inlineStr">
        <is>
          <t>Medio</t>
        </is>
      </c>
      <c r="P189" s="40" t="inlineStr">
        <is>
          <t>Refuerza el dilema paz o ataque.</t>
        </is>
      </c>
      <c r="Q189" s="41" t="n"/>
    </row>
    <row r="190" ht="23.25" customHeight="1" s="27">
      <c r="A190" s="38" t="inlineStr">
        <is>
          <t>T189</t>
        </is>
      </c>
      <c r="B190" s="39" t="inlineStr">
        <is>
          <t>Reconstrucción</t>
        </is>
      </c>
      <c r="C190" s="38" t="n">
        <v>4</v>
      </c>
      <c r="D190" s="38">
        <f>IF(Q190="Sí",0,C190*Reglas!$C$5)</f>
        <v/>
      </c>
      <c r="E190" s="40" t="inlineStr">
        <is>
          <t>Militar</t>
        </is>
      </c>
      <c r="F190" s="40" t="inlineStr">
        <is>
          <t>Guerra y conquista</t>
        </is>
      </c>
      <c r="G190" s="38" t="inlineStr">
        <is>
          <t>Vertebral</t>
        </is>
      </c>
      <c r="H190" s="40" t="inlineStr">
        <is>
          <t>Conquista</t>
        </is>
      </c>
      <c r="I190" s="40" t="inlineStr">
        <is>
          <t>Conquista</t>
        </is>
      </c>
      <c r="J190" s="40" t="inlineStr">
        <is>
          <t>Al conquistar, recuperas 3/4 (en vez de la mitad) de la producción de los edificios retirados.</t>
        </is>
      </c>
      <c r="K190" s="40" t="inlineStr">
        <is>
          <t>Administradores (T187)</t>
        </is>
      </c>
      <c r="L190" s="41">
        <f>IF(C190=1,0,CHOOSE(C190-1,Reglas!$C$6,Reglas!$C$7,Reglas!$C$8,Reglas!$C$9))</f>
        <v/>
      </c>
      <c r="M190" s="41" t="inlineStr">
        <is>
          <t>Mía</t>
        </is>
      </c>
      <c r="N190" s="41" t="n">
        <v>3</v>
      </c>
      <c r="O190" s="41" t="inlineStr">
        <is>
          <t>Bajo</t>
        </is>
      </c>
      <c r="P190" s="40" t="inlineStr">
        <is>
          <t>Hace la conquista más lucrativa.</t>
        </is>
      </c>
      <c r="Q190" s="41" t="n"/>
    </row>
    <row r="191" ht="23.25" customHeight="1" s="27">
      <c r="A191" s="38" t="inlineStr">
        <is>
          <t>T190</t>
        </is>
      </c>
      <c r="B191" s="39" t="inlineStr">
        <is>
          <t>Contraataque</t>
        </is>
      </c>
      <c r="C191" s="38" t="n">
        <v>5</v>
      </c>
      <c r="D191" s="38">
        <f>IF(Q191="Sí",0,C191*Reglas!$C$5)</f>
        <v/>
      </c>
      <c r="E191" s="40" t="inlineStr">
        <is>
          <t>Militar</t>
        </is>
      </c>
      <c r="F191" s="40" t="inlineStr">
        <is>
          <t>Guerra y conquista</t>
        </is>
      </c>
      <c r="G191" s="38" t="inlineStr">
        <is>
          <t>Vertebral</t>
        </is>
      </c>
      <c r="H191" s="40" t="inlineStr">
        <is>
          <t>Combate</t>
        </is>
      </c>
      <c r="I191" s="40" t="inlineStr">
        <is>
          <t>Combate</t>
        </is>
      </c>
      <c r="J191" s="40" t="inlineStr">
        <is>
          <t>Desbloquea La Puerta de los Estandartes, la maravilla de Guerra y conquista (única en la partida): tus atacantes tienen +1 de fuerza mientras controles su zona. Solo se puede investigar si nadie la ha construido.</t>
        </is>
      </c>
      <c r="K191" s="40" t="inlineStr">
        <is>
          <t>Emboscadas (T188); Reconstrucción (T189)</t>
        </is>
      </c>
      <c r="L191" s="41">
        <f>IF(C191=1,0,CHOOSE(C191-1,Reglas!$C$6,Reglas!$C$7,Reglas!$C$8,Reglas!$C$9))</f>
        <v/>
      </c>
      <c r="M191" s="41" t="inlineStr">
        <is>
          <t>Mía</t>
        </is>
      </c>
      <c r="N191" s="41" t="n">
        <v>3</v>
      </c>
      <c r="O191" s="41" t="inlineStr">
        <is>
          <t>Medio</t>
        </is>
      </c>
      <c r="P191" s="40" t="inlineStr">
        <is>
          <t>Por sí sola no da su efecto: lo da la maravilla. Si otro la termina antes, pierdes la obra y recuperas la mitad de la producción, pero conservas la tecnología (cuenta para la victoria tecnológica).</t>
        </is>
      </c>
      <c r="Q191" s="41" t="n"/>
    </row>
    <row r="192" ht="23.25" customHeight="1" s="27">
      <c r="A192" s="41" t="inlineStr">
        <is>
          <t>T191</t>
        </is>
      </c>
      <c r="B192" s="42" t="inlineStr">
        <is>
          <t>Caminos militares</t>
        </is>
      </c>
      <c r="C192" s="41" t="n">
        <v>1</v>
      </c>
      <c r="D192" s="41">
        <f>IF(Q192="Sí",0,C192*Reglas!$C$5)</f>
        <v/>
      </c>
      <c r="E192" s="40" t="inlineStr">
        <is>
          <t>Militar</t>
        </is>
      </c>
      <c r="F192" s="40" t="inlineStr">
        <is>
          <t>Guerra y conquista</t>
        </is>
      </c>
      <c r="G192" s="41" t="inlineStr">
        <is>
          <t>Opcional</t>
        </is>
      </c>
      <c r="H192" s="40" t="inlineStr">
        <is>
          <t>Movimiento</t>
        </is>
      </c>
      <c r="I192" s="40" t="inlineStr">
        <is>
          <t>Movimiento</t>
        </is>
      </c>
      <c r="J192" s="40" t="inlineStr">
        <is>
          <t>Mover unidades militares cuesta la mitad de oro (redondeando hacia arriba).</t>
        </is>
      </c>
      <c r="K192" s="40" t="inlineStr">
        <is>
          <t>—</t>
        </is>
      </c>
      <c r="L192" s="41">
        <f>IF(C192=1,0,CHOOSE(C192-1,Reglas!$C$6,Reglas!$C$7,Reglas!$C$8,Reglas!$C$9))</f>
        <v/>
      </c>
      <c r="M192" s="41" t="inlineStr">
        <is>
          <t>Mía</t>
        </is>
      </c>
      <c r="N192" s="41" t="n">
        <v>4</v>
      </c>
      <c r="O192" s="41" t="inlineStr">
        <is>
          <t>Bajo</t>
        </is>
      </c>
      <c r="P192" s="40" t="inlineStr">
        <is>
          <t>Reduce el costo del movimiento militar, que hoy es caro.</t>
        </is>
      </c>
      <c r="Q192" s="41" t="n"/>
    </row>
    <row r="193" ht="23.25" customHeight="1" s="27">
      <c r="A193" s="41" t="inlineStr">
        <is>
          <t>T192</t>
        </is>
      </c>
      <c r="B193" s="42" t="inlineStr">
        <is>
          <t>Emboscada en el bosque</t>
        </is>
      </c>
      <c r="C193" s="41" t="n">
        <v>2</v>
      </c>
      <c r="D193" s="41">
        <f>IF(Q193="Sí",0,C193*Reglas!$C$5)</f>
        <v/>
      </c>
      <c r="E193" s="40" t="inlineStr">
        <is>
          <t>Militar</t>
        </is>
      </c>
      <c r="F193" s="40" t="inlineStr">
        <is>
          <t>Guerra y conquista</t>
        </is>
      </c>
      <c r="G193" s="41" t="inlineStr">
        <is>
          <t>Opcional</t>
        </is>
      </c>
      <c r="H193" s="40" t="inlineStr">
        <is>
          <t>Terreno militar</t>
        </is>
      </c>
      <c r="I193" s="40" t="inlineStr">
        <is>
          <t>Terreno militar</t>
        </is>
      </c>
      <c r="J193" s="40" t="inlineStr">
        <is>
          <t>En Bosques, los arqueros atacantes tienen +1 de fuerza adicional.</t>
        </is>
      </c>
      <c r="K193" s="40" t="inlineStr">
        <is>
          <t>Arco (T135)</t>
        </is>
      </c>
      <c r="L193" s="41">
        <f>IF(C193=1,0,CHOOSE(C193-1,Reglas!$C$6,Reglas!$C$7,Reglas!$C$8,Reglas!$C$9))</f>
        <v/>
      </c>
      <c r="M193" s="41" t="inlineStr">
        <is>
          <t>Mía</t>
        </is>
      </c>
      <c r="N193" s="41" t="n">
        <v>3</v>
      </c>
      <c r="O193" s="41" t="inlineStr">
        <is>
          <t>Medio</t>
        </is>
      </c>
      <c r="P193" s="40" t="inlineStr">
        <is>
          <t>Con Bosques ya dando +1 de fuerza a arqueros atacantes, esto los lleva a +2: mucho daño desde la primera ola. Vigilar.</t>
        </is>
      </c>
      <c r="Q193" s="41" t="n"/>
    </row>
    <row r="194" ht="15" customHeight="1" s="27">
      <c r="A194" s="41" t="inlineStr">
        <is>
          <t>T193</t>
        </is>
      </c>
      <c r="B194" s="42" t="inlineStr">
        <is>
          <t>Botín</t>
        </is>
      </c>
      <c r="C194" s="41" t="n">
        <v>2</v>
      </c>
      <c r="D194" s="41">
        <f>IF(Q194="Sí",0,C194*Reglas!$C$5)</f>
        <v/>
      </c>
      <c r="E194" s="40" t="inlineStr">
        <is>
          <t>Militar</t>
        </is>
      </c>
      <c r="F194" s="40" t="inlineStr">
        <is>
          <t>Guerra y conquista</t>
        </is>
      </c>
      <c r="G194" s="41" t="inlineStr">
        <is>
          <t>Opcional</t>
        </is>
      </c>
      <c r="H194" s="40" t="inlineStr">
        <is>
          <t>Combate</t>
        </is>
      </c>
      <c r="I194" s="40" t="inlineStr">
        <is>
          <t>Conquista</t>
        </is>
      </c>
      <c r="J194" s="40" t="inlineStr">
        <is>
          <t>Recibes 1 de oro por cada enemigo que mates en combate.</t>
        </is>
      </c>
      <c r="K194" s="40" t="inlineStr">
        <is>
          <t>Cuarteles (T158)</t>
        </is>
      </c>
      <c r="L194" s="41">
        <f>IF(C194=1,0,CHOOSE(C194-1,Reglas!$C$6,Reglas!$C$7,Reglas!$C$8,Reglas!$C$9))</f>
        <v/>
      </c>
      <c r="M194" s="41" t="inlineStr">
        <is>
          <t>Mía</t>
        </is>
      </c>
      <c r="N194" s="41" t="n">
        <v>3</v>
      </c>
      <c r="O194" s="41" t="inlineStr">
        <is>
          <t>Bajo</t>
        </is>
      </c>
      <c r="P194" s="40" t="inlineStr">
        <is>
          <t>Premia pelear bien.</t>
        </is>
      </c>
      <c r="Q194" s="41" t="n"/>
    </row>
    <row r="195" ht="23.25" customHeight="1" s="27">
      <c r="A195" s="41" t="inlineStr">
        <is>
          <t>T194</t>
        </is>
      </c>
      <c r="B195" s="42" t="inlineStr">
        <is>
          <t>Guarniciones</t>
        </is>
      </c>
      <c r="C195" s="41" t="n">
        <v>2</v>
      </c>
      <c r="D195" s="41">
        <f>IF(Q195="Sí",0,C195*Reglas!$C$5)</f>
        <v/>
      </c>
      <c r="E195" s="40" t="inlineStr">
        <is>
          <t>Militar</t>
        </is>
      </c>
      <c r="F195" s="40" t="inlineStr">
        <is>
          <t>Guerra y conquista</t>
        </is>
      </c>
      <c r="G195" s="41" t="inlineStr">
        <is>
          <t>Opcional</t>
        </is>
      </c>
      <c r="H195" s="40" t="inlineStr">
        <is>
          <t>Movimiento</t>
        </is>
      </c>
      <c r="I195" s="40" t="inlineStr">
        <is>
          <t>Movimiento</t>
        </is>
      </c>
      <c r="J195" s="40" t="inlineStr">
        <is>
          <t>Los militares que se quedan en zonas propias consumen 1 de comida (en vez de 2).</t>
        </is>
      </c>
      <c r="K195" s="40" t="inlineStr">
        <is>
          <t>Cuarteles (T158)</t>
        </is>
      </c>
      <c r="L195" s="41">
        <f>IF(C195=1,0,CHOOSE(C195-1,Reglas!$C$6,Reglas!$C$7,Reglas!$C$8,Reglas!$C$9))</f>
        <v/>
      </c>
      <c r="M195" s="41" t="inlineStr">
        <is>
          <t>Mía</t>
        </is>
      </c>
      <c r="N195" s="41" t="n">
        <v>3</v>
      </c>
      <c r="O195" s="41" t="inlineStr">
        <is>
          <t>Bajo</t>
        </is>
      </c>
      <c r="P195" s="40" t="inlineStr">
        <is>
          <t>Reduce el costo de mantener ejército en casa; incentiva defender.</t>
        </is>
      </c>
      <c r="Q195" s="41" t="n"/>
    </row>
    <row r="196" ht="15" customHeight="1" s="27">
      <c r="A196" s="41" t="inlineStr">
        <is>
          <t>T195</t>
        </is>
      </c>
      <c r="B196" s="42" t="inlineStr">
        <is>
          <t>Prisioneros</t>
        </is>
      </c>
      <c r="C196" s="41" t="n">
        <v>3</v>
      </c>
      <c r="D196" s="41">
        <f>IF(Q196="Sí",0,C196*Reglas!$C$5)</f>
        <v/>
      </c>
      <c r="E196" s="40" t="inlineStr">
        <is>
          <t>Militar</t>
        </is>
      </c>
      <c r="F196" s="40" t="inlineStr">
        <is>
          <t>Guerra y conquista</t>
        </is>
      </c>
      <c r="G196" s="41" t="inlineStr">
        <is>
          <t>Opcional</t>
        </is>
      </c>
      <c r="H196" s="40" t="inlineStr">
        <is>
          <t>Combate</t>
        </is>
      </c>
      <c r="I196" s="40" t="inlineStr">
        <is>
          <t>Conquista</t>
        </is>
      </c>
      <c r="J196" s="40" t="inlineStr">
        <is>
          <t>Los civiles capturados quedan con 2 de vida (en vez de 1).</t>
        </is>
      </c>
      <c r="K196" s="40" t="inlineStr">
        <is>
          <t>Botín (T193)</t>
        </is>
      </c>
      <c r="L196" s="41">
        <f>IF(C196=1,0,CHOOSE(C196-1,Reglas!$C$6,Reglas!$C$7,Reglas!$C$8,Reglas!$C$9))</f>
        <v/>
      </c>
      <c r="M196" s="41" t="inlineStr">
        <is>
          <t>Mía</t>
        </is>
      </c>
      <c r="N196" s="41" t="n">
        <v>3</v>
      </c>
      <c r="O196" s="41" t="inlineStr">
        <is>
          <t>Bajo</t>
        </is>
      </c>
      <c r="P196" s="40" t="inlineStr">
        <is>
          <t>Acorta el tiempo de recuperación de los capturados.</t>
        </is>
      </c>
      <c r="Q196" s="41" t="n"/>
    </row>
    <row r="197" ht="15" customHeight="1" s="27">
      <c r="A197" s="41" t="inlineStr">
        <is>
          <t>T196</t>
        </is>
      </c>
      <c r="B197" s="42" t="inlineStr">
        <is>
          <t>Moral</t>
        </is>
      </c>
      <c r="C197" s="41" t="n">
        <v>3</v>
      </c>
      <c r="D197" s="41">
        <f>IF(Q197="Sí",0,C197*Reglas!$C$5)</f>
        <v/>
      </c>
      <c r="E197" s="40" t="inlineStr">
        <is>
          <t>Militar</t>
        </is>
      </c>
      <c r="F197" s="40" t="inlineStr">
        <is>
          <t>Guerra y conquista</t>
        </is>
      </c>
      <c r="G197" s="41" t="inlineStr">
        <is>
          <t>Opcional</t>
        </is>
      </c>
      <c r="H197" s="40" t="inlineStr">
        <is>
          <t>Combate</t>
        </is>
      </c>
      <c r="I197" s="40" t="inlineStr">
        <is>
          <t>Combate</t>
        </is>
      </c>
      <c r="J197" s="40" t="inlineStr">
        <is>
          <t>Tus unidades heridas pelean con 3/4 de fuerza (en vez de la mitad).</t>
        </is>
      </c>
      <c r="K197" s="40" t="inlineStr">
        <is>
          <t>Hospitales (T105)</t>
        </is>
      </c>
      <c r="L197" s="41">
        <f>IF(C197=1,0,CHOOSE(C197-1,Reglas!$C$6,Reglas!$C$7,Reglas!$C$8,Reglas!$C$9))</f>
        <v/>
      </c>
      <c r="M197" s="41" t="inlineStr">
        <is>
          <t>Mía</t>
        </is>
      </c>
      <c r="N197" s="41" t="n">
        <v>3</v>
      </c>
      <c r="O197" s="41" t="inlineStr">
        <is>
          <t>Medio</t>
        </is>
      </c>
      <c r="P197" s="40" t="inlineStr">
        <is>
          <t>Afecta mucho los combates en guerras largas.</t>
        </is>
      </c>
      <c r="Q197" s="41" t="n"/>
    </row>
    <row r="198" ht="23.25" customHeight="1" s="27">
      <c r="A198" s="41" t="inlineStr">
        <is>
          <t>T197</t>
        </is>
      </c>
      <c r="B198" s="42" t="inlineStr">
        <is>
          <t>Suministros de campaña</t>
        </is>
      </c>
      <c r="C198" s="41" t="n">
        <v>3</v>
      </c>
      <c r="D198" s="41">
        <f>IF(Q198="Sí",0,C198*Reglas!$C$5)</f>
        <v/>
      </c>
      <c r="E198" s="40" t="inlineStr">
        <is>
          <t>Militar</t>
        </is>
      </c>
      <c r="F198" s="40" t="inlineStr">
        <is>
          <t>Guerra y conquista</t>
        </is>
      </c>
      <c r="G198" s="41" t="inlineStr">
        <is>
          <t>Opcional</t>
        </is>
      </c>
      <c r="H198" s="40" t="inlineStr">
        <is>
          <t>Movimiento</t>
        </is>
      </c>
      <c r="I198" s="40" t="inlineStr">
        <is>
          <t>Movimiento</t>
        </is>
      </c>
      <c r="J198" s="40" t="inlineStr">
        <is>
          <t>Los militares fuera de tus zonas consumen 1 de comida (en vez de 2).</t>
        </is>
      </c>
      <c r="K198" s="40" t="inlineStr">
        <is>
          <t>Caminos militares (T191); Almacenes (T073)</t>
        </is>
      </c>
      <c r="L198" s="41">
        <f>IF(C198=1,0,CHOOSE(C198-1,Reglas!$C$6,Reglas!$C$7,Reglas!$C$8,Reglas!$C$9))</f>
        <v/>
      </c>
      <c r="M198" s="41" t="inlineStr">
        <is>
          <t>Mía</t>
        </is>
      </c>
      <c r="N198" s="41" t="n">
        <v>3</v>
      </c>
      <c r="O198" s="41" t="inlineStr">
        <is>
          <t>Bajo</t>
        </is>
      </c>
      <c r="P198" s="40" t="inlineStr">
        <is>
          <t>Reduce el costo de campañas largas.</t>
        </is>
      </c>
      <c r="Q198" s="41" t="n"/>
    </row>
    <row r="199" ht="23.25" customHeight="1" s="27">
      <c r="A199" s="41" t="inlineStr">
        <is>
          <t>T198</t>
        </is>
      </c>
      <c r="B199" s="42" t="inlineStr">
        <is>
          <t>Caballería de llanura</t>
        </is>
      </c>
      <c r="C199" s="41" t="n">
        <v>4</v>
      </c>
      <c r="D199" s="41">
        <f>IF(Q199="Sí",0,C199*Reglas!$C$5)</f>
        <v/>
      </c>
      <c r="E199" s="40" t="inlineStr">
        <is>
          <t>Militar</t>
        </is>
      </c>
      <c r="F199" s="40" t="inlineStr">
        <is>
          <t>Guerra y conquista</t>
        </is>
      </c>
      <c r="G199" s="41" t="inlineStr">
        <is>
          <t>Opcional</t>
        </is>
      </c>
      <c r="H199" s="40" t="inlineStr">
        <is>
          <t>Terreno militar</t>
        </is>
      </c>
      <c r="I199" s="40" t="inlineStr">
        <is>
          <t>Terreno militar</t>
        </is>
      </c>
      <c r="J199" s="40" t="inlineStr">
        <is>
          <t>En Llanuras, los caballeros atacantes tienen +1 de fuerza.</t>
        </is>
      </c>
      <c r="K199" s="40" t="inlineStr">
        <is>
          <t>Doma de caballos (T137)</t>
        </is>
      </c>
      <c r="L199" s="41">
        <f>IF(C199=1,0,CHOOSE(C199-1,Reglas!$C$6,Reglas!$C$7,Reglas!$C$8,Reglas!$C$9))</f>
        <v/>
      </c>
      <c r="M199" s="41" t="inlineStr">
        <is>
          <t>Mía</t>
        </is>
      </c>
      <c r="N199" s="41" t="n">
        <v>3</v>
      </c>
      <c r="O199" s="41" t="inlineStr">
        <is>
          <t>Medio</t>
        </is>
      </c>
      <c r="P199" s="40" t="inlineStr">
        <is>
          <t>Los caballeros atacantes ya actúan con iniciativa 0 en Llanuras; con +1 de fuerza son una amenaza clara para zonas llanas.</t>
        </is>
      </c>
      <c r="Q199" s="41" t="n"/>
    </row>
    <row r="200" ht="23.25" customHeight="1" s="27">
      <c r="A200" s="41" t="inlineStr">
        <is>
          <t>T199</t>
        </is>
      </c>
      <c r="B200" s="42" t="inlineStr">
        <is>
          <t>Asalto de colina</t>
        </is>
      </c>
      <c r="C200" s="41" t="n">
        <v>4</v>
      </c>
      <c r="D200" s="41">
        <f>IF(Q200="Sí",0,C200*Reglas!$C$5)</f>
        <v/>
      </c>
      <c r="E200" s="40" t="inlineStr">
        <is>
          <t>Militar</t>
        </is>
      </c>
      <c r="F200" s="40" t="inlineStr">
        <is>
          <t>Guerra y conquista</t>
        </is>
      </c>
      <c r="G200" s="41" t="inlineStr">
        <is>
          <t>Opcional</t>
        </is>
      </c>
      <c r="H200" s="40" t="inlineStr">
        <is>
          <t>Terreno militar</t>
        </is>
      </c>
      <c r="I200" s="40" t="inlineStr">
        <is>
          <t>Terreno militar</t>
        </is>
      </c>
      <c r="J200" s="40" t="inlineStr">
        <is>
          <t>En Colinas, los berserkers atacantes tienen +1 de fuerza.</t>
        </is>
      </c>
      <c r="K200" s="40" t="inlineStr">
        <is>
          <t>Forja de hachas (T138)</t>
        </is>
      </c>
      <c r="L200" s="41">
        <f>IF(C200=1,0,CHOOSE(C200-1,Reglas!$C$6,Reglas!$C$7,Reglas!$C$8,Reglas!$C$9))</f>
        <v/>
      </c>
      <c r="M200" s="41" t="inlineStr">
        <is>
          <t>Mía</t>
        </is>
      </c>
      <c r="N200" s="41" t="n">
        <v>3</v>
      </c>
      <c r="O200" s="41" t="inlineStr">
        <is>
          <t>Medio</t>
        </is>
      </c>
      <c r="P200" s="40" t="inlineStr">
        <is>
          <t>Con iniciativa 2 al atacar en Colinas ya eran rápidos; el +1 de fuerza los vuelve la mejor opción de ataque.</t>
        </is>
      </c>
      <c r="Q200" s="41" t="n"/>
    </row>
    <row r="201" ht="23.25" customHeight="1" s="27">
      <c r="A201" s="41" t="inlineStr">
        <is>
          <t>T200</t>
        </is>
      </c>
      <c r="B201" s="42" t="inlineStr">
        <is>
          <t>Caballos de carga</t>
        </is>
      </c>
      <c r="C201" s="41" t="n">
        <v>4</v>
      </c>
      <c r="D201" s="41">
        <f>IF(Q201="Sí",0,C201*Reglas!$C$5)</f>
        <v/>
      </c>
      <c r="E201" s="40" t="inlineStr">
        <is>
          <t>Militar</t>
        </is>
      </c>
      <c r="F201" s="40" t="inlineStr">
        <is>
          <t>Guerra y conquista</t>
        </is>
      </c>
      <c r="G201" s="41" t="inlineStr">
        <is>
          <t>Opcional</t>
        </is>
      </c>
      <c r="H201" s="40" t="inlineStr">
        <is>
          <t>Movimiento</t>
        </is>
      </c>
      <c r="I201" s="40" t="inlineStr">
        <is>
          <t>Movimiento</t>
        </is>
      </c>
      <c r="J201" s="40" t="inlineStr">
        <is>
          <t>Los militares pueden llevar hasta 5 unidades de comida o producción al moverse.</t>
        </is>
      </c>
      <c r="K201" s="40" t="inlineStr">
        <is>
          <t>Suministros de campaña (T197); Camino civil I (T075)</t>
        </is>
      </c>
      <c r="L201" s="41">
        <f>IF(C201=1,0,CHOOSE(C201-1,Reglas!$C$6,Reglas!$C$7,Reglas!$C$8,Reglas!$C$9))</f>
        <v/>
      </c>
      <c r="M201" s="41" t="inlineStr">
        <is>
          <t>Mía</t>
        </is>
      </c>
      <c r="N201" s="41" t="n">
        <v>3</v>
      </c>
      <c r="O201" s="41" t="inlineStr">
        <is>
          <t>Bajo</t>
        </is>
      </c>
      <c r="P201" s="40" t="inlineStr">
        <is>
          <t>Logística militar propia; depende de aclarar cuánto cuesta cada transporte.</t>
        </is>
      </c>
      <c r="Q201" s="41" t="n"/>
    </row>
    <row r="202" ht="23.25" customHeight="1" s="27">
      <c r="A202" s="41" t="inlineStr">
        <is>
          <t>T201</t>
        </is>
      </c>
      <c r="B202" s="42" t="inlineStr">
        <is>
          <t>Intimidación</t>
        </is>
      </c>
      <c r="C202" s="41" t="n">
        <v>4</v>
      </c>
      <c r="D202" s="41">
        <f>IF(Q202="Sí",0,C202*Reglas!$C$5)</f>
        <v/>
      </c>
      <c r="E202" s="40" t="inlineStr">
        <is>
          <t>Militar</t>
        </is>
      </c>
      <c r="F202" s="40" t="inlineStr">
        <is>
          <t>Guerra y conquista</t>
        </is>
      </c>
      <c r="G202" s="41" t="inlineStr">
        <is>
          <t>Opcional</t>
        </is>
      </c>
      <c r="H202" s="40" t="inlineStr">
        <is>
          <t>Conquista</t>
        </is>
      </c>
      <c r="I202" s="40" t="inlineStr">
        <is>
          <t>Conquista</t>
        </is>
      </c>
      <c r="J202" s="40" t="inlineStr">
        <is>
          <t>Si tu fuerza total en una zona es el triple que la del defensor, la zona se rinde sin combate.</t>
        </is>
      </c>
      <c r="K202" s="40" t="inlineStr">
        <is>
          <t>Contraespionaje (T186); Botín (T193)</t>
        </is>
      </c>
      <c r="L202" s="41">
        <f>IF(C202=1,0,CHOOSE(C202-1,Reglas!$C$6,Reglas!$C$7,Reglas!$C$8,Reglas!$C$9))</f>
        <v/>
      </c>
      <c r="M202" s="41" t="inlineStr">
        <is>
          <t>Mía</t>
        </is>
      </c>
      <c r="N202" s="41" t="n">
        <v>3</v>
      </c>
      <c r="O202" s="41" t="inlineStr">
        <is>
          <t>Medio</t>
        </is>
      </c>
      <c r="P202" s="40" t="inlineStr">
        <is>
          <t>Evita combates desiguales; es una regla nueva y hay que definir bien su detalle.</t>
        </is>
      </c>
      <c r="Q202" s="41" t="n"/>
    </row>
    <row r="203" ht="23.25" customHeight="1" s="27">
      <c r="A203" s="41" t="inlineStr">
        <is>
          <t>T202</t>
        </is>
      </c>
      <c r="B203" s="42" t="inlineStr">
        <is>
          <t>Guerra relámpago</t>
        </is>
      </c>
      <c r="C203" s="41" t="n">
        <v>5</v>
      </c>
      <c r="D203" s="41">
        <f>IF(Q203="Sí",0,C203*Reglas!$C$5)</f>
        <v/>
      </c>
      <c r="E203" s="40" t="inlineStr">
        <is>
          <t>Militar</t>
        </is>
      </c>
      <c r="F203" s="40" t="inlineStr">
        <is>
          <t>Guerra y conquista</t>
        </is>
      </c>
      <c r="G203" s="41" t="inlineStr">
        <is>
          <t>Opcional</t>
        </is>
      </c>
      <c r="H203" s="40" t="inlineStr">
        <is>
          <t>Movimiento</t>
        </is>
      </c>
      <c r="I203" s="40" t="inlineStr">
        <is>
          <t>Movimiento</t>
        </is>
      </c>
      <c r="J203" s="40" t="inlineStr">
        <is>
          <t>Una vez cada 10 rondas, un ejército puede moverse el doble de zonas.</t>
        </is>
      </c>
      <c r="K203" s="40" t="inlineStr">
        <is>
          <t>Marcha relámpago (T170); Caballos de carga (T200)</t>
        </is>
      </c>
      <c r="L203" s="41">
        <f>IF(C203=1,0,CHOOSE(C203-1,Reglas!$C$6,Reglas!$C$7,Reglas!$C$8,Reglas!$C$9))</f>
        <v/>
      </c>
      <c r="M203" s="41" t="inlineStr">
        <is>
          <t>Mía</t>
        </is>
      </c>
      <c r="N203" s="41" t="n">
        <v>2</v>
      </c>
      <c r="O203" s="41" t="inlineStr">
        <is>
          <t>Alto</t>
        </is>
      </c>
      <c r="P203" s="40" t="inlineStr">
        <is>
          <t>Casi un teletransporte con enfriamiento; puede volver impredecible el ritmo.</t>
        </is>
      </c>
      <c r="Q203" s="41" t="n"/>
    </row>
    <row r="204" ht="23.25" customHeight="1" s="27">
      <c r="A204" s="41" t="inlineStr">
        <is>
          <t>T203</t>
        </is>
      </c>
      <c r="B204" s="42" t="inlineStr">
        <is>
          <t>Imperio conquistador</t>
        </is>
      </c>
      <c r="C204" s="41" t="n">
        <v>5</v>
      </c>
      <c r="D204" s="41">
        <f>IF(Q204="Sí",0,C204*Reglas!$C$5)</f>
        <v/>
      </c>
      <c r="E204" s="40" t="inlineStr">
        <is>
          <t>Militar</t>
        </is>
      </c>
      <c r="F204" s="40" t="inlineStr">
        <is>
          <t>Guerra y conquista</t>
        </is>
      </c>
      <c r="G204" s="41" t="inlineStr">
        <is>
          <t>Opcional</t>
        </is>
      </c>
      <c r="H204" s="40" t="inlineStr">
        <is>
          <t>Conquista</t>
        </is>
      </c>
      <c r="I204" s="40" t="inlineStr">
        <is>
          <t>Conquista</t>
        </is>
      </c>
      <c r="J204" s="40" t="inlineStr">
        <is>
          <t>Las zonas que conquistas conservan hasta 2 edificios (en vez de 1) y mantienen su tamaño original.</t>
        </is>
      </c>
      <c r="K204" s="40" t="inlineStr">
        <is>
          <t>Administradores (T187); Reconstrucción (T189)</t>
        </is>
      </c>
      <c r="L204" s="41">
        <f>IF(C204=1,0,CHOOSE(C204-1,Reglas!$C$6,Reglas!$C$7,Reglas!$C$8,Reglas!$C$9))</f>
        <v/>
      </c>
      <c r="M204" s="41" t="inlineStr">
        <is>
          <t>Mía</t>
        </is>
      </c>
      <c r="N204" s="41" t="n">
        <v>2</v>
      </c>
      <c r="O204" s="41" t="inlineStr">
        <is>
          <t>Alto</t>
        </is>
      </c>
      <c r="P204" s="40" t="inlineStr">
        <is>
          <t>Muy fuerte: rompe la regla de bajar a tamaño 3 y refuerza la bola de nieve.</t>
        </is>
      </c>
      <c r="Q204" s="41" t="n"/>
    </row>
  </sheetData>
  <autoFilter ref="A1:Q204"/>
  <conditionalFormatting sqref="N2:N204">
    <cfRule type="colorScale" priority="2">
      <colorScale>
        <cfvo type="num" val="1"/>
        <cfvo type="num" val="3"/>
        <cfvo type="num" val="5"/>
        <color rgb="FFF4B6B0"/>
        <color rgb="FFFFF3C4"/>
        <color rgb="FFB7E1B5"/>
      </colorScale>
    </cfRule>
  </conditionalFormatting>
  <conditionalFormatting sqref="O2:O204">
    <cfRule type="cellIs" rank="0" priority="3" equalAverage="0" operator="equal" aboveAverage="0" dxfId="10" text="" percent="0" bottom="0">
      <formula>"Alto"</formula>
    </cfRule>
    <cfRule type="cellIs" rank="0" priority="4" equalAverage="0" operator="equal" aboveAverage="0" dxfId="11" text="" percent="0" bottom="0">
      <formula>"Medio"</formula>
    </cfRule>
  </conditionalFormatting>
  <conditionalFormatting sqref="M2:M204">
    <cfRule type="cellIs" rank="0" priority="5" equalAverage="0" operator="equal" aboveAverage="0" dxfId="12" text="" percent="0" bottom="0">
      <formula>"Tuya"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1:J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6" min="1" max="1"/>
    <col width="26" customWidth="1" style="26" min="2" max="2"/>
    <col width="14" customWidth="1" style="26" min="3" max="3"/>
    <col width="12" customWidth="1" style="26" min="4" max="6"/>
    <col width="18" customWidth="1" style="26" min="7" max="8"/>
    <col width="15" customWidth="1" style="26" min="9" max="9"/>
    <col width="14" customWidth="1" style="26" min="10" max="10"/>
  </cols>
  <sheetData>
    <row r="1" ht="19.5" customHeight="1" s="27">
      <c r="B1" s="28" t="inlineStr">
        <is>
          <t>Las 12 ramas y su columna vertebral</t>
        </is>
      </c>
    </row>
    <row r="2" ht="15" customHeight="1" s="27">
      <c r="B2" s="29" t="inlineStr">
        <is>
          <t>Costo hasta nivel 4 = lo necesario para poder investigar el nivel 5 de la rama. Costo de la columna = incluye la tecnología vertebral de nivel 5.</t>
        </is>
      </c>
    </row>
    <row r="4" ht="43.5" customHeight="1" s="27">
      <c r="B4" s="37" t="inlineStr">
        <is>
          <t>Rama</t>
        </is>
      </c>
      <c r="C4" s="37" t="inlineStr">
        <is>
          <t>Tipo</t>
        </is>
      </c>
      <c r="D4" s="37" t="inlineStr">
        <is>
          <t>Tecnologías</t>
        </is>
      </c>
      <c r="E4" s="37" t="inlineStr">
        <is>
          <t>Vertebrales</t>
        </is>
      </c>
      <c r="F4" s="37" t="inlineStr">
        <is>
          <t>Opcionales</t>
        </is>
      </c>
      <c r="G4" s="37" t="inlineStr">
        <is>
          <t>Costo hasta nivel 4 (columna)</t>
        </is>
      </c>
      <c r="H4" s="37" t="inlineStr">
        <is>
          <t>Costo de la columna completa</t>
        </is>
      </c>
      <c r="I4" s="37" t="inlineStr">
        <is>
          <t>Valoración media</t>
        </is>
      </c>
      <c r="J4" s="37" t="inlineStr">
        <is>
          <t>Riesgo alto</t>
        </is>
      </c>
    </row>
    <row r="5" ht="15" customHeight="1" s="27">
      <c r="B5" s="43" t="inlineStr">
        <is>
          <t>Agricultura</t>
        </is>
      </c>
      <c r="C5" s="44" t="inlineStr">
        <is>
          <t>Civil</t>
        </is>
      </c>
      <c r="D5" s="44">
        <f>COUNTIF(Tecnologías!$F$2:$F$204,B5)</f>
        <v/>
      </c>
      <c r="E5" s="44">
        <f>COUNTIFS(Tecnologías!$F$2:$F$204,B5,Tecnologías!$G$2:$G$204,"Vertebral")</f>
        <v/>
      </c>
      <c r="F5" s="44">
        <f>COUNTIFS(Tecnologías!$F$2:$F$204,B5,Tecnologías!$G$2:$G$204,"Opcional")</f>
        <v/>
      </c>
      <c r="G5" s="44">
        <f>SUMIFS(Tecnologías!$D$2:$D$204,Tecnologías!$F$2:$F$204,B5,Tecnologías!$G$2:$G$204,"Vertebral",Tecnologías!$C$2:$C$204,"&lt;=4")</f>
        <v/>
      </c>
      <c r="H5" s="44">
        <f>SUMIFS(Tecnologías!$D$2:$D$204,Tecnologías!$F$2:$F$204,B5,Tecnologías!$G$2:$G$204,"Vertebral")</f>
        <v/>
      </c>
      <c r="I5" s="45">
        <f>AVERAGEIF(Tecnologías!$F$2:$F$204,B5,Tecnologías!$N$2:$N$204)</f>
        <v/>
      </c>
      <c r="J5" s="44">
        <f>COUNTIFS(Tecnologías!$F$2:$F$204,B5,Tecnologías!$O$2:$O$204,"Alto")</f>
        <v/>
      </c>
    </row>
    <row r="6" ht="15" customHeight="1" s="27">
      <c r="B6" s="43" t="inlineStr">
        <is>
          <t>Producción</t>
        </is>
      </c>
      <c r="C6" s="44" t="inlineStr">
        <is>
          <t>Civil</t>
        </is>
      </c>
      <c r="D6" s="44">
        <f>COUNTIF(Tecnologías!$F$2:$F$204,B6)</f>
        <v/>
      </c>
      <c r="E6" s="44">
        <f>COUNTIFS(Tecnologías!$F$2:$F$204,B6,Tecnologías!$G$2:$G$204,"Vertebral")</f>
        <v/>
      </c>
      <c r="F6" s="44">
        <f>COUNTIFS(Tecnologías!$F$2:$F$204,B6,Tecnologías!$G$2:$G$204,"Opcional")</f>
        <v/>
      </c>
      <c r="G6" s="44">
        <f>SUMIFS(Tecnologías!$D$2:$D$204,Tecnologías!$F$2:$F$204,B6,Tecnologías!$G$2:$G$204,"Vertebral",Tecnologías!$C$2:$C$204,"&lt;=4")</f>
        <v/>
      </c>
      <c r="H6" s="44">
        <f>SUMIFS(Tecnologías!$D$2:$D$204,Tecnologías!$F$2:$F$204,B6,Tecnologías!$G$2:$G$204,"Vertebral")</f>
        <v/>
      </c>
      <c r="I6" s="45">
        <f>AVERAGEIF(Tecnologías!$F$2:$F$204,B6,Tecnologías!$N$2:$N$204)</f>
        <v/>
      </c>
      <c r="J6" s="44">
        <f>COUNTIFS(Tecnologías!$F$2:$F$204,B6,Tecnologías!$O$2:$O$204,"Alto")</f>
        <v/>
      </c>
    </row>
    <row r="7" ht="15" customHeight="1" s="27">
      <c r="B7" s="43" t="inlineStr">
        <is>
          <t>Comercio</t>
        </is>
      </c>
      <c r="C7" s="44" t="inlineStr">
        <is>
          <t>Civil</t>
        </is>
      </c>
      <c r="D7" s="44">
        <f>COUNTIF(Tecnologías!$F$2:$F$204,B7)</f>
        <v/>
      </c>
      <c r="E7" s="44">
        <f>COUNTIFS(Tecnologías!$F$2:$F$204,B7,Tecnologías!$G$2:$G$204,"Vertebral")</f>
        <v/>
      </c>
      <c r="F7" s="44">
        <f>COUNTIFS(Tecnologías!$F$2:$F$204,B7,Tecnologías!$G$2:$G$204,"Opcional")</f>
        <v/>
      </c>
      <c r="G7" s="44">
        <f>SUMIFS(Tecnologías!$D$2:$D$204,Tecnologías!$F$2:$F$204,B7,Tecnologías!$G$2:$G$204,"Vertebral",Tecnologías!$C$2:$C$204,"&lt;=4")</f>
        <v/>
      </c>
      <c r="H7" s="44">
        <f>SUMIFS(Tecnologías!$D$2:$D$204,Tecnologías!$F$2:$F$204,B7,Tecnologías!$G$2:$G$204,"Vertebral")</f>
        <v/>
      </c>
      <c r="I7" s="45">
        <f>AVERAGEIF(Tecnologías!$F$2:$F$204,B7,Tecnologías!$N$2:$N$204)</f>
        <v/>
      </c>
      <c r="J7" s="44">
        <f>COUNTIFS(Tecnologías!$F$2:$F$204,B7,Tecnologías!$O$2:$O$204,"Alto")</f>
        <v/>
      </c>
    </row>
    <row r="8" ht="15" customHeight="1" s="27">
      <c r="B8" s="43" t="inlineStr">
        <is>
          <t>Saber</t>
        </is>
      </c>
      <c r="C8" s="44" t="inlineStr">
        <is>
          <t>Civil</t>
        </is>
      </c>
      <c r="D8" s="44">
        <f>COUNTIF(Tecnologías!$F$2:$F$204,B8)</f>
        <v/>
      </c>
      <c r="E8" s="44">
        <f>COUNTIFS(Tecnologías!$F$2:$F$204,B8,Tecnologías!$G$2:$G$204,"Vertebral")</f>
        <v/>
      </c>
      <c r="F8" s="44">
        <f>COUNTIFS(Tecnologías!$F$2:$F$204,B8,Tecnologías!$G$2:$G$204,"Opcional")</f>
        <v/>
      </c>
      <c r="G8" s="44">
        <f>SUMIFS(Tecnologías!$D$2:$D$204,Tecnologías!$F$2:$F$204,B8,Tecnologías!$G$2:$G$204,"Vertebral",Tecnologías!$C$2:$C$204,"&lt;=4")</f>
        <v/>
      </c>
      <c r="H8" s="44">
        <f>SUMIFS(Tecnologías!$D$2:$D$204,Tecnologías!$F$2:$F$204,B8,Tecnologías!$G$2:$G$204,"Vertebral")</f>
        <v/>
      </c>
      <c r="I8" s="45">
        <f>AVERAGEIF(Tecnologías!$F$2:$F$204,B8,Tecnologías!$N$2:$N$204)</f>
        <v/>
      </c>
      <c r="J8" s="44">
        <f>COUNTIFS(Tecnologías!$F$2:$F$204,B8,Tecnologías!$O$2:$O$204,"Alto")</f>
        <v/>
      </c>
    </row>
    <row r="9" ht="15" customHeight="1" s="27">
      <c r="B9" s="43" t="inlineStr">
        <is>
          <t>Logística</t>
        </is>
      </c>
      <c r="C9" s="44" t="inlineStr">
        <is>
          <t>Construcción</t>
        </is>
      </c>
      <c r="D9" s="44">
        <f>COUNTIF(Tecnologías!$F$2:$F$204,B9)</f>
        <v/>
      </c>
      <c r="E9" s="44">
        <f>COUNTIFS(Tecnologías!$F$2:$F$204,B9,Tecnologías!$G$2:$G$204,"Vertebral")</f>
        <v/>
      </c>
      <c r="F9" s="44">
        <f>COUNTIFS(Tecnologías!$F$2:$F$204,B9,Tecnologías!$G$2:$G$204,"Opcional")</f>
        <v/>
      </c>
      <c r="G9" s="44">
        <f>SUMIFS(Tecnologías!$D$2:$D$204,Tecnologías!$F$2:$F$204,B9,Tecnologías!$G$2:$G$204,"Vertebral",Tecnologías!$C$2:$C$204,"&lt;=4")</f>
        <v/>
      </c>
      <c r="H9" s="44">
        <f>SUMIFS(Tecnologías!$D$2:$D$204,Tecnologías!$F$2:$F$204,B9,Tecnologías!$G$2:$G$204,"Vertebral")</f>
        <v/>
      </c>
      <c r="I9" s="45">
        <f>AVERAGEIF(Tecnologías!$F$2:$F$204,B9,Tecnologías!$N$2:$N$204)</f>
        <v/>
      </c>
      <c r="J9" s="44">
        <f>COUNTIFS(Tecnologías!$F$2:$F$204,B9,Tecnologías!$O$2:$O$204,"Alto")</f>
        <v/>
      </c>
    </row>
    <row r="10" ht="15" customHeight="1" s="27">
      <c r="B10" s="43" t="inlineStr">
        <is>
          <t>Urbanismo</t>
        </is>
      </c>
      <c r="C10" s="44" t="inlineStr">
        <is>
          <t>Construcción</t>
        </is>
      </c>
      <c r="D10" s="44">
        <f>COUNTIF(Tecnologías!$F$2:$F$204,B10)</f>
        <v/>
      </c>
      <c r="E10" s="44">
        <f>COUNTIFS(Tecnologías!$F$2:$F$204,B10,Tecnologías!$G$2:$G$204,"Vertebral")</f>
        <v/>
      </c>
      <c r="F10" s="44">
        <f>COUNTIFS(Tecnologías!$F$2:$F$204,B10,Tecnologías!$G$2:$G$204,"Opcional")</f>
        <v/>
      </c>
      <c r="G10" s="44">
        <f>SUMIFS(Tecnologías!$D$2:$D$204,Tecnologías!$F$2:$F$204,B10,Tecnologías!$G$2:$G$204,"Vertebral",Tecnologías!$C$2:$C$204,"&lt;=4")</f>
        <v/>
      </c>
      <c r="H10" s="44">
        <f>SUMIFS(Tecnologías!$D$2:$D$204,Tecnologías!$F$2:$F$204,B10,Tecnologías!$G$2:$G$204,"Vertebral")</f>
        <v/>
      </c>
      <c r="I10" s="45">
        <f>AVERAGEIF(Tecnologías!$F$2:$F$204,B10,Tecnologías!$N$2:$N$204)</f>
        <v/>
      </c>
      <c r="J10" s="44">
        <f>COUNTIFS(Tecnologías!$F$2:$F$204,B10,Tecnologías!$O$2:$O$204,"Alto")</f>
        <v/>
      </c>
    </row>
    <row r="11" ht="15" customHeight="1" s="27">
      <c r="B11" s="43" t="inlineStr">
        <is>
          <t>Sanidad y población</t>
        </is>
      </c>
      <c r="C11" s="44" t="inlineStr">
        <is>
          <t>Construcción</t>
        </is>
      </c>
      <c r="D11" s="44">
        <f>COUNTIF(Tecnologías!$F$2:$F$204,B11)</f>
        <v/>
      </c>
      <c r="E11" s="44">
        <f>COUNTIFS(Tecnologías!$F$2:$F$204,B11,Tecnologías!$G$2:$G$204,"Vertebral")</f>
        <v/>
      </c>
      <c r="F11" s="44">
        <f>COUNTIFS(Tecnologías!$F$2:$F$204,B11,Tecnologías!$G$2:$G$204,"Opcional")</f>
        <v/>
      </c>
      <c r="G11" s="44">
        <f>SUMIFS(Tecnologías!$D$2:$D$204,Tecnologías!$F$2:$F$204,B11,Tecnologías!$G$2:$G$204,"Vertebral",Tecnologías!$C$2:$C$204,"&lt;=4")</f>
        <v/>
      </c>
      <c r="H11" s="44">
        <f>SUMIFS(Tecnologías!$D$2:$D$204,Tecnologías!$F$2:$F$204,B11,Tecnologías!$G$2:$G$204,"Vertebral")</f>
        <v/>
      </c>
      <c r="I11" s="45">
        <f>AVERAGEIF(Tecnologías!$F$2:$F$204,B11,Tecnologías!$N$2:$N$204)</f>
        <v/>
      </c>
      <c r="J11" s="44">
        <f>COUNTIFS(Tecnologías!$F$2:$F$204,B11,Tecnologías!$O$2:$O$204,"Alto")</f>
        <v/>
      </c>
    </row>
    <row r="12" ht="15" customHeight="1" s="27">
      <c r="B12" s="43" t="inlineStr">
        <is>
          <t>Diplomacia e imperio</t>
        </is>
      </c>
      <c r="C12" s="44" t="inlineStr">
        <is>
          <t>Civil</t>
        </is>
      </c>
      <c r="D12" s="44">
        <f>COUNTIF(Tecnologías!$F$2:$F$204,B12)</f>
        <v/>
      </c>
      <c r="E12" s="44">
        <f>COUNTIFS(Tecnologías!$F$2:$F$204,B12,Tecnologías!$G$2:$G$204,"Vertebral")</f>
        <v/>
      </c>
      <c r="F12" s="44">
        <f>COUNTIFS(Tecnologías!$F$2:$F$204,B12,Tecnologías!$G$2:$G$204,"Opcional")</f>
        <v/>
      </c>
      <c r="G12" s="44">
        <f>SUMIFS(Tecnologías!$D$2:$D$204,Tecnologías!$F$2:$F$204,B12,Tecnologías!$G$2:$G$204,"Vertebral",Tecnologías!$C$2:$C$204,"&lt;=4")</f>
        <v/>
      </c>
      <c r="H12" s="44">
        <f>SUMIFS(Tecnologías!$D$2:$D$204,Tecnologías!$F$2:$F$204,B12,Tecnologías!$G$2:$G$204,"Vertebral")</f>
        <v/>
      </c>
      <c r="I12" s="45">
        <f>AVERAGEIF(Tecnologías!$F$2:$F$204,B12,Tecnologías!$N$2:$N$204)</f>
        <v/>
      </c>
      <c r="J12" s="44">
        <f>COUNTIFS(Tecnologías!$F$2:$F$204,B12,Tecnologías!$O$2:$O$204,"Alto")</f>
        <v/>
      </c>
    </row>
    <row r="13" ht="15" customHeight="1" s="27">
      <c r="B13" s="43" t="inlineStr">
        <is>
          <t>Armas y unidades</t>
        </is>
      </c>
      <c r="C13" s="44" t="inlineStr">
        <is>
          <t>Militar</t>
        </is>
      </c>
      <c r="D13" s="44">
        <f>COUNTIF(Tecnologías!$F$2:$F$204,B13)</f>
        <v/>
      </c>
      <c r="E13" s="44">
        <f>COUNTIFS(Tecnologías!$F$2:$F$204,B13,Tecnologías!$G$2:$G$204,"Vertebral")</f>
        <v/>
      </c>
      <c r="F13" s="44">
        <f>COUNTIFS(Tecnologías!$F$2:$F$204,B13,Tecnologías!$G$2:$G$204,"Opcional")</f>
        <v/>
      </c>
      <c r="G13" s="44">
        <f>SUMIFS(Tecnologías!$D$2:$D$204,Tecnologías!$F$2:$F$204,B13,Tecnologías!$G$2:$G$204,"Vertebral",Tecnologías!$C$2:$C$204,"&lt;=4")</f>
        <v/>
      </c>
      <c r="H13" s="44">
        <f>SUMIFS(Tecnologías!$D$2:$D$204,Tecnologías!$F$2:$F$204,B13,Tecnologías!$G$2:$G$204,"Vertebral")</f>
        <v/>
      </c>
      <c r="I13" s="45">
        <f>AVERAGEIF(Tecnologías!$F$2:$F$204,B13,Tecnologías!$N$2:$N$204)</f>
        <v/>
      </c>
      <c r="J13" s="44">
        <f>COUNTIFS(Tecnologías!$F$2:$F$204,B13,Tecnologías!$O$2:$O$204,"Alto")</f>
        <v/>
      </c>
    </row>
    <row r="14" ht="15" customHeight="1" s="27">
      <c r="B14" s="43" t="inlineStr">
        <is>
          <t>Cuartel y entrenamiento</t>
        </is>
      </c>
      <c r="C14" s="44" t="inlineStr">
        <is>
          <t>Militar</t>
        </is>
      </c>
      <c r="D14" s="44">
        <f>COUNTIF(Tecnologías!$F$2:$F$204,B14)</f>
        <v/>
      </c>
      <c r="E14" s="44">
        <f>COUNTIFS(Tecnologías!$F$2:$F$204,B14,Tecnologías!$G$2:$G$204,"Vertebral")</f>
        <v/>
      </c>
      <c r="F14" s="44">
        <f>COUNTIFS(Tecnologías!$F$2:$F$204,B14,Tecnologías!$G$2:$G$204,"Opcional")</f>
        <v/>
      </c>
      <c r="G14" s="44">
        <f>SUMIFS(Tecnologías!$D$2:$D$204,Tecnologías!$F$2:$F$204,B14,Tecnologías!$G$2:$G$204,"Vertebral",Tecnologías!$C$2:$C$204,"&lt;=4")</f>
        <v/>
      </c>
      <c r="H14" s="44">
        <f>SUMIFS(Tecnologías!$D$2:$D$204,Tecnologías!$F$2:$F$204,B14,Tecnologías!$G$2:$G$204,"Vertebral")</f>
        <v/>
      </c>
      <c r="I14" s="45">
        <f>AVERAGEIF(Tecnologías!$F$2:$F$204,B14,Tecnologías!$N$2:$N$204)</f>
        <v/>
      </c>
      <c r="J14" s="44">
        <f>COUNTIFS(Tecnologías!$F$2:$F$204,B14,Tecnologías!$O$2:$O$204,"Alto")</f>
        <v/>
      </c>
    </row>
    <row r="15" ht="15" customHeight="1" s="27">
      <c r="B15" s="43" t="inlineStr">
        <is>
          <t>Defensa</t>
        </is>
      </c>
      <c r="C15" s="44" t="inlineStr">
        <is>
          <t>Militar</t>
        </is>
      </c>
      <c r="D15" s="44">
        <f>COUNTIF(Tecnologías!$F$2:$F$204,B15)</f>
        <v/>
      </c>
      <c r="E15" s="44">
        <f>COUNTIFS(Tecnologías!$F$2:$F$204,B15,Tecnologías!$G$2:$G$204,"Vertebral")</f>
        <v/>
      </c>
      <c r="F15" s="44">
        <f>COUNTIFS(Tecnologías!$F$2:$F$204,B15,Tecnologías!$G$2:$G$204,"Opcional")</f>
        <v/>
      </c>
      <c r="G15" s="44">
        <f>SUMIFS(Tecnologías!$D$2:$D$204,Tecnologías!$F$2:$F$204,B15,Tecnologías!$G$2:$G$204,"Vertebral",Tecnologías!$C$2:$C$204,"&lt;=4")</f>
        <v/>
      </c>
      <c r="H15" s="44">
        <f>SUMIFS(Tecnologías!$D$2:$D$204,Tecnologías!$F$2:$F$204,B15,Tecnologías!$G$2:$G$204,"Vertebral")</f>
        <v/>
      </c>
      <c r="I15" s="45">
        <f>AVERAGEIF(Tecnologías!$F$2:$F$204,B15,Tecnologías!$N$2:$N$204)</f>
        <v/>
      </c>
      <c r="J15" s="44">
        <f>COUNTIFS(Tecnologías!$F$2:$F$204,B15,Tecnologías!$O$2:$O$204,"Alto")</f>
        <v/>
      </c>
    </row>
    <row r="16" ht="15" customHeight="1" s="27">
      <c r="B16" s="43" t="inlineStr">
        <is>
          <t>Guerra y conquista</t>
        </is>
      </c>
      <c r="C16" s="44" t="inlineStr">
        <is>
          <t>Militar</t>
        </is>
      </c>
      <c r="D16" s="44">
        <f>COUNTIF(Tecnologías!$F$2:$F$204,B16)</f>
        <v/>
      </c>
      <c r="E16" s="44">
        <f>COUNTIFS(Tecnologías!$F$2:$F$204,B16,Tecnologías!$G$2:$G$204,"Vertebral")</f>
        <v/>
      </c>
      <c r="F16" s="44">
        <f>COUNTIFS(Tecnologías!$F$2:$F$204,B16,Tecnologías!$G$2:$G$204,"Opcional")</f>
        <v/>
      </c>
      <c r="G16" s="44">
        <f>SUMIFS(Tecnologías!$D$2:$D$204,Tecnologías!$F$2:$F$204,B16,Tecnologías!$G$2:$G$204,"Vertebral",Tecnologías!$C$2:$C$204,"&lt;=4")</f>
        <v/>
      </c>
      <c r="H16" s="44">
        <f>SUMIFS(Tecnologías!$D$2:$D$204,Tecnologías!$F$2:$F$204,B16,Tecnologías!$G$2:$G$204,"Vertebral")</f>
        <v/>
      </c>
      <c r="I16" s="45">
        <f>AVERAGEIF(Tecnologías!$F$2:$F$204,B16,Tecnologías!$N$2:$N$204)</f>
        <v/>
      </c>
      <c r="J16" s="44">
        <f>COUNTIFS(Tecnologías!$F$2:$F$204,B16,Tecnologías!$O$2:$O$204,"Alto")</f>
        <v/>
      </c>
    </row>
    <row r="17" ht="15" customHeight="1" s="27">
      <c r="B17" s="46" t="inlineStr">
        <is>
          <t>Total</t>
        </is>
      </c>
      <c r="D17" s="47">
        <f>SUM(D5:D16)</f>
        <v/>
      </c>
      <c r="E17" s="47">
        <f>SUM(E5:E16)</f>
        <v/>
      </c>
      <c r="F17" s="47">
        <f>SUM(F5:F16)</f>
        <v/>
      </c>
      <c r="G17" s="47">
        <f>SUM(G5:G16)</f>
        <v/>
      </c>
      <c r="H17" s="47">
        <f>SUM(H5:H16)</f>
        <v/>
      </c>
      <c r="J17" s="47">
        <f>SUM(J5:J16)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1:H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6" min="1" max="1"/>
    <col width="28" customWidth="1" style="26" min="2" max="2"/>
    <col width="12" customWidth="1" style="26" min="3" max="3"/>
    <col width="14" customWidth="1" style="26" min="4" max="4"/>
    <col width="12" customWidth="1" style="26" min="5" max="6"/>
    <col width="14" customWidth="1" style="26" min="7" max="8"/>
  </cols>
  <sheetData>
    <row r="1" ht="19.5" customHeight="1" s="27">
      <c r="B1" s="28" t="inlineStr">
        <is>
          <t>Resumen del árbol</t>
        </is>
      </c>
    </row>
    <row r="3" ht="15" customHeight="1" s="27">
      <c r="B3" s="46" t="inlineStr">
        <is>
          <t>Tecnologías por nivel y tipo</t>
        </is>
      </c>
    </row>
    <row r="4" ht="15" customHeight="1" s="27">
      <c r="B4" s="48" t="inlineStr">
        <is>
          <t>Nivel</t>
        </is>
      </c>
      <c r="C4" s="48" t="inlineStr">
        <is>
          <t>Civil</t>
        </is>
      </c>
      <c r="D4" s="48" t="inlineStr">
        <is>
          <t>Construcción</t>
        </is>
      </c>
      <c r="E4" s="48" t="inlineStr">
        <is>
          <t>Militar</t>
        </is>
      </c>
      <c r="F4" s="48" t="inlineStr">
        <is>
          <t>Total</t>
        </is>
      </c>
      <c r="G4" s="48" t="inlineStr">
        <is>
          <t>Costo c/u</t>
        </is>
      </c>
      <c r="H4" s="48" t="inlineStr">
        <is>
          <t>Costo total</t>
        </is>
      </c>
    </row>
    <row r="5" ht="15" customHeight="1" s="27">
      <c r="B5" s="43" t="n">
        <v>1</v>
      </c>
      <c r="C5" s="44">
        <f>COUNTIFS(Tecnologías!$C$2:$C$204,$B5,Tecnologías!$E$2:$E$204,"Civil")</f>
        <v/>
      </c>
      <c r="D5" s="44">
        <f>COUNTIFS(Tecnologías!$C$2:$C$204,$B5,Tecnologías!$E$2:$E$204,"Construcción")</f>
        <v/>
      </c>
      <c r="E5" s="44">
        <f>COUNTIFS(Tecnologías!$C$2:$C$204,$B5,Tecnologías!$E$2:$E$204,"Militar")</f>
        <v/>
      </c>
      <c r="F5" s="44">
        <f>SUM(C5:E5)</f>
        <v/>
      </c>
      <c r="G5" s="44">
        <f>B5*Reglas!$C$5</f>
        <v/>
      </c>
      <c r="H5" s="49">
        <f>F5*G5</f>
        <v/>
      </c>
    </row>
    <row r="6" ht="15" customHeight="1" s="27">
      <c r="B6" s="43" t="n">
        <v>2</v>
      </c>
      <c r="C6" s="44">
        <f>COUNTIFS(Tecnologías!$C$2:$C$204,$B6,Tecnologías!$E$2:$E$204,"Civil")</f>
        <v/>
      </c>
      <c r="D6" s="44">
        <f>COUNTIFS(Tecnologías!$C$2:$C$204,$B6,Tecnologías!$E$2:$E$204,"Construcción")</f>
        <v/>
      </c>
      <c r="E6" s="44">
        <f>COUNTIFS(Tecnologías!$C$2:$C$204,$B6,Tecnologías!$E$2:$E$204,"Militar")</f>
        <v/>
      </c>
      <c r="F6" s="44">
        <f>SUM(C6:E6)</f>
        <v/>
      </c>
      <c r="G6" s="44">
        <f>B6*Reglas!$C$5</f>
        <v/>
      </c>
      <c r="H6" s="49">
        <f>F6*G6</f>
        <v/>
      </c>
    </row>
    <row r="7" ht="15" customHeight="1" s="27">
      <c r="B7" s="43" t="n">
        <v>3</v>
      </c>
      <c r="C7" s="44">
        <f>COUNTIFS(Tecnologías!$C$2:$C$204,$B7,Tecnologías!$E$2:$E$204,"Civil")</f>
        <v/>
      </c>
      <c r="D7" s="44">
        <f>COUNTIFS(Tecnologías!$C$2:$C$204,$B7,Tecnologías!$E$2:$E$204,"Construcción")</f>
        <v/>
      </c>
      <c r="E7" s="44">
        <f>COUNTIFS(Tecnologías!$C$2:$C$204,$B7,Tecnologías!$E$2:$E$204,"Militar")</f>
        <v/>
      </c>
      <c r="F7" s="44">
        <f>SUM(C7:E7)</f>
        <v/>
      </c>
      <c r="G7" s="44">
        <f>B7*Reglas!$C$5</f>
        <v/>
      </c>
      <c r="H7" s="49">
        <f>F7*G7</f>
        <v/>
      </c>
    </row>
    <row r="8" ht="15" customHeight="1" s="27">
      <c r="B8" s="43" t="n">
        <v>4</v>
      </c>
      <c r="C8" s="44">
        <f>COUNTIFS(Tecnologías!$C$2:$C$204,$B8,Tecnologías!$E$2:$E$204,"Civil")</f>
        <v/>
      </c>
      <c r="D8" s="44">
        <f>COUNTIFS(Tecnologías!$C$2:$C$204,$B8,Tecnologías!$E$2:$E$204,"Construcción")</f>
        <v/>
      </c>
      <c r="E8" s="44">
        <f>COUNTIFS(Tecnologías!$C$2:$C$204,$B8,Tecnologías!$E$2:$E$204,"Militar")</f>
        <v/>
      </c>
      <c r="F8" s="44">
        <f>SUM(C8:E8)</f>
        <v/>
      </c>
      <c r="G8" s="44">
        <f>B8*Reglas!$C$5</f>
        <v/>
      </c>
      <c r="H8" s="49">
        <f>F8*G8</f>
        <v/>
      </c>
    </row>
    <row r="9" ht="15" customHeight="1" s="27">
      <c r="B9" s="43" t="n">
        <v>5</v>
      </c>
      <c r="C9" s="44">
        <f>COUNTIFS(Tecnologías!$C$2:$C$204,$B9,Tecnologías!$E$2:$E$204,"Civil")</f>
        <v/>
      </c>
      <c r="D9" s="44">
        <f>COUNTIFS(Tecnologías!$C$2:$C$204,$B9,Tecnologías!$E$2:$E$204,"Construcción")</f>
        <v/>
      </c>
      <c r="E9" s="44">
        <f>COUNTIFS(Tecnologías!$C$2:$C$204,$B9,Tecnologías!$E$2:$E$204,"Militar")</f>
        <v/>
      </c>
      <c r="F9" s="44">
        <f>SUM(C9:E9)</f>
        <v/>
      </c>
      <c r="G9" s="44">
        <f>B9*Reglas!$C$5</f>
        <v/>
      </c>
      <c r="H9" s="49">
        <f>F9*G9</f>
        <v/>
      </c>
    </row>
    <row r="10" ht="15" customHeight="1" s="27">
      <c r="B10" s="43" t="inlineStr">
        <is>
          <t>Total</t>
        </is>
      </c>
      <c r="C10" s="44">
        <f>SUM(C5:C9)</f>
        <v/>
      </c>
      <c r="D10" s="44">
        <f>SUM(D5:D9)</f>
        <v/>
      </c>
      <c r="E10" s="44">
        <f>SUM(E5:E9)</f>
        <v/>
      </c>
      <c r="F10" s="44">
        <f>SUM(F5:F9)</f>
        <v/>
      </c>
      <c r="H10" s="49">
        <f>SUM(H5:H9)</f>
        <v/>
      </c>
    </row>
    <row r="12" ht="15" customHeight="1" s="27">
      <c r="B12" s="46" t="inlineStr">
        <is>
          <t>Origen y valoración</t>
        </is>
      </c>
    </row>
    <row r="13" ht="23.25" customHeight="1" s="27">
      <c r="B13" s="48" t="inlineStr">
        <is>
          <t>Origen</t>
        </is>
      </c>
      <c r="C13" s="48" t="inlineStr">
        <is>
          <t>Cantidad</t>
        </is>
      </c>
      <c r="D13" s="48" t="inlineStr">
        <is>
          <t>Valoración media</t>
        </is>
      </c>
    </row>
    <row r="14" ht="15" customHeight="1" s="27">
      <c r="B14" s="43" t="inlineStr">
        <is>
          <t>Tuya</t>
        </is>
      </c>
      <c r="C14" s="44">
        <f>COUNTIF(Tecnologías!$M$2:$M$204,B14)</f>
        <v/>
      </c>
      <c r="D14" s="45">
        <f>AVERAGEIF(Tecnologías!$M$2:$M$204,B14,Tecnologías!$N$2:$N$204)</f>
        <v/>
      </c>
    </row>
    <row r="15" ht="15" customHeight="1" s="27">
      <c r="B15" s="43" t="inlineStr">
        <is>
          <t>Mía</t>
        </is>
      </c>
      <c r="C15" s="44">
        <f>COUNTIF(Tecnologías!$M$2:$M$204,B15)</f>
        <v/>
      </c>
      <c r="D15" s="45">
        <f>AVERAGEIF(Tecnologías!$M$2:$M$204,B15,Tecnologías!$N$2:$N$204)</f>
        <v/>
      </c>
    </row>
    <row r="16" ht="15" customHeight="1" s="27">
      <c r="B16" s="43" t="inlineStr">
        <is>
          <t>Todas</t>
        </is>
      </c>
      <c r="C16" s="44">
        <f>SUM(C14:C15)</f>
        <v/>
      </c>
      <c r="D16" s="45">
        <f>AVERAGE(Tecnologías!$N$2:$N$204)</f>
        <v/>
      </c>
    </row>
    <row r="18" ht="15" customHeight="1" s="27">
      <c r="B18" s="46" t="inlineStr">
        <is>
          <t>Riesgo de balance</t>
        </is>
      </c>
    </row>
    <row r="19" ht="15" customHeight="1" s="27">
      <c r="B19" s="48" t="inlineStr">
        <is>
          <t>Riesgo</t>
        </is>
      </c>
      <c r="C19" s="48" t="inlineStr">
        <is>
          <t>Cantidad</t>
        </is>
      </c>
    </row>
    <row r="20" ht="15" customHeight="1" s="27">
      <c r="B20" s="43" t="inlineStr">
        <is>
          <t>Alto</t>
        </is>
      </c>
      <c r="C20" s="44">
        <f>COUNTIF(Tecnologías!$O$2:$O$204,B20)</f>
        <v/>
      </c>
    </row>
    <row r="21" ht="15" customHeight="1" s="27">
      <c r="B21" s="43" t="inlineStr">
        <is>
          <t>Medio</t>
        </is>
      </c>
      <c r="C21" s="44">
        <f>COUNTIF(Tecnologías!$O$2:$O$204,B21)</f>
        <v/>
      </c>
    </row>
    <row r="22" ht="15" customHeight="1" s="27">
      <c r="B22" s="43" t="inlineStr">
        <is>
          <t>Bajo</t>
        </is>
      </c>
      <c r="C22" s="44">
        <f>COUNTIF(Tecnologías!$O$2:$O$204,B22)</f>
        <v/>
      </c>
    </row>
    <row r="24" ht="15" customHeight="1" s="27">
      <c r="B24" s="46" t="inlineStr">
        <is>
          <t>Columna vertebral y opcionales</t>
        </is>
      </c>
    </row>
    <row r="25" ht="15" customHeight="1" s="27">
      <c r="B25" s="48" t="inlineStr">
        <is>
          <t>Columna</t>
        </is>
      </c>
      <c r="C25" s="48" t="inlineStr">
        <is>
          <t>Cantidad</t>
        </is>
      </c>
      <c r="D25" s="48" t="inlineStr">
        <is>
          <t>Costo total</t>
        </is>
      </c>
    </row>
    <row r="26" ht="15" customHeight="1" s="27">
      <c r="B26" s="43" t="inlineStr">
        <is>
          <t>Vertebral</t>
        </is>
      </c>
      <c r="C26" s="44">
        <f>COUNTIF(Tecnologías!$G$2:$G$204,B26)</f>
        <v/>
      </c>
      <c r="D26" s="49">
        <f>SUMIF(Tecnologías!$G$2:$G$204,B26,Tecnologías!$D$2:$D$204)</f>
        <v/>
      </c>
    </row>
    <row r="27" ht="15" customHeight="1" s="27">
      <c r="B27" s="43" t="inlineStr">
        <is>
          <t>Opcional</t>
        </is>
      </c>
      <c r="C27" s="44">
        <f>COUNTIF(Tecnologías!$G$2:$G$204,B27)</f>
        <v/>
      </c>
      <c r="D27" s="49">
        <f>SUMIF(Tecnologías!$G$2:$G$204,B27,Tecnologías!$D$2:$D$204)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2026-10-26T04:30:27Z</dcterms:created>
  <dcterms:modified xmlns:dcterms="http://purl.org/dc/terms/" xmlns:xsi="http://www.w3.org/2001/XMLSchema-instance" xsi:type="dcterms:W3CDTF">2026-10-27T19:23:00Z</dcterms:modified>
  <cp:revision>0</cp:revision>
</cp:coreProperties>
</file>